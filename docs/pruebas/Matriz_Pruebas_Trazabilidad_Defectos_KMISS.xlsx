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3311db73fd40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8b5fbeb67e5445d9"/>
    <x:sheet xmlns:r="http://schemas.openxmlformats.org/officeDocument/2006/relationships" name="Casos de prueba" sheetId="2" r:id="Rde03a3afa4534e52"/>
    <x:sheet xmlns:r="http://schemas.openxmlformats.org/officeDocument/2006/relationships" name="Trazabilidad" sheetId="3" r:id="R67f283448b5f4d79"/>
    <x:sheet xmlns:r="http://schemas.openxmlformats.org/officeDocument/2006/relationships" name="Defectos" sheetId="4" r:id="R4221f087cdae4f7d"/>
    <x:sheet xmlns:r="http://schemas.openxmlformats.org/officeDocument/2006/relationships" name="RNF" sheetId="5" r:id="R1f3f836b7d4b44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%"/>
    <x:numFmt numFmtId="202" formatCode="yyyy-mm-dd"/>
  </x:numFmts>
  <x:fonts count="6">
    <x:font>
      <x:sz val="11"/>
      <x:name val="Carlito"/>
    </x:font>
    <x:font>
      <x:b/>
      <x:sz val="16"/>
      <x:color rgb="FF000000"/>
      <x:name val="Arial"/>
    </x:font>
    <x:font>
      <x:i/>
      <x:sz val="10"/>
      <x:color rgb="FF555555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201" fontId="4" fillId="0" borderId="1" xfId="0" applyNumberFormat="1" applyFont="1" applyFill="1" applyBorder="1" applyAlignment="1">
      <x:alignment vertical="center" wrapText="1"/>
    </x:xf>
    <x:xf numFmtId="202" fontId="4" fillId="0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4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color rgb="FF1B5E20"/>
      </x:font>
      <x:fill>
        <x:patternFill patternType="solid">
          <x:bgColor rgb="FFE8F5E9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72269644884d10" /><Relationship Type="http://schemas.openxmlformats.org/officeDocument/2006/relationships/theme" Target="/xl/theme/theme1.xml" Id="Ra6bafcb4a5cd40c4" /><Relationship Type="http://schemas.openxmlformats.org/officeDocument/2006/relationships/sharedStrings" Target="/xl/sharedStrings.xml" Id="R8e06ebc790e04a99" /><Relationship Type="http://schemas.openxmlformats.org/officeDocument/2006/relationships/worksheet" Target="/xl/worksheets/sheet1.xml" Id="R8b5fbeb67e5445d9" /><Relationship Type="http://schemas.openxmlformats.org/officeDocument/2006/relationships/worksheet" Target="/xl/worksheets/sheet2.xml" Id="Rde03a3afa4534e52" /><Relationship Type="http://schemas.openxmlformats.org/officeDocument/2006/relationships/worksheet" Target="/xl/worksheets/sheet3.xml" Id="R67f283448b5f4d79" /><Relationship Type="http://schemas.openxmlformats.org/officeDocument/2006/relationships/worksheet" Target="/xl/worksheets/sheet4.xml" Id="R4221f087cdae4f7d" /><Relationship Type="http://schemas.openxmlformats.org/officeDocument/2006/relationships/worksheet" Target="/xl/worksheets/sheet5.xml" Id="R1f3f836b7d4b44f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7dff1de40a04a4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Defectos por severidad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Cantidad</c:v>
          </c:tx>
          <c:cat>
            <c:strRef>
              <c:f>'Resumen'!$A$15:$A$18</c:f>
              <c:strCache>
                <c:ptCount val="0"/>
              </c:strCache>
            </c:strRef>
          </c:cat>
          <c:val>
            <c:numRef>
              <c:f>'Resumen'!$B$15:$B$18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4</xdr:row>
      <xdr:rowOff>0</xdr:rowOff>
    </xdr:from>
    <xdr:to>
      <xdr:col>11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7dff1de40a04a4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5ef727beca94cd3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24" hidden="0" customWidth="1"/>
  </x:cols>
  <x:sheetData>
    <x:row r="1">
      <x:c r="A1" s="16"/>
      <x:c r="B1" s="16"/>
      <x:c r="C1" s="16"/>
      <x:c r="D1" s="16"/>
      <x:c r="E1" s="16"/>
      <x:c r="F1" s="16"/>
      <x:c r="G1" s="16"/>
      <x:c r="H1" s="16"/>
      <x:c r="I1" s="16"/>
      <x:c r="J1" s="16"/>
      <x:c r="K1" s="16"/>
    </x:row>
    <x:row r="2">
      <x:c r="A2" s="1" t="str">
        <x:v>Control de pruebas de KMISS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</x:row>
    <x:row r="3">
      <x:c r="A3" s="2" t="str">
        <x:v>Proyecto Final Control de Calidad 2026</x:v>
      </x:c>
      <x:c r="B3" s="16"/>
      <x:c r="C3" s="16"/>
      <x:c r="D3" s="16"/>
      <x:c r="E3" s="16"/>
      <x:c r="F3" s="16"/>
      <x:c r="G3" s="16"/>
      <x:c r="H3" s="16"/>
      <x:c r="I3" s="16"/>
      <x:c r="J3" s="16"/>
      <x:c r="K3" s="16"/>
    </x:row>
    <x:row r="4">
      <x:c r="A4" s="16"/>
      <x:c r="B4" s="16"/>
      <x:c r="C4" s="16"/>
      <x:c r="D4" s="16"/>
      <x:c r="E4" s="16"/>
      <x:c r="F4" s="16"/>
      <x:c r="G4" s="16"/>
      <x:c r="H4" s="16"/>
      <x:c r="I4" s="16"/>
      <x:c r="J4" s="16"/>
      <x:c r="K4" s="16"/>
    </x:row>
    <x:row r="5">
      <x:c r="A5" s="8" t="str">
        <x:v>Métrica</x:v>
      </x:c>
      <x:c r="B5" s="8" t="str">
        <x:v>Resultado</x:v>
      </x:c>
      <x:c r="C5" s="16"/>
      <x:c r="D5" s="16"/>
      <x:c r="E5" s="16"/>
      <x:c r="F5" s="16"/>
      <x:c r="G5" s="16"/>
      <x:c r="H5" s="16"/>
      <x:c r="I5" s="16"/>
      <x:c r="J5" s="16"/>
      <x:c r="K5" s="16"/>
    </x:row>
    <x:row r="6">
      <x:c r="A6" s="12" t="str">
        <x:v>Casos diseñados</x:v>
      </x:c>
      <x:c r="B6" s="13" t="n">
        <x:f>COUNTA('Casos de prueba'!A5:A44)</x:f>
        <x:v>40</x:v>
      </x:c>
      <x:c r="C6" s="16"/>
      <x:c r="D6" s="16"/>
      <x:c r="E6" s="16"/>
      <x:c r="F6" s="16"/>
      <x:c r="G6" s="16"/>
      <x:c r="H6" s="16"/>
      <x:c r="I6" s="16"/>
      <x:c r="J6" s="16"/>
      <x:c r="K6" s="16"/>
    </x:row>
    <x:row r="7">
      <x:c r="A7" s="12" t="str">
        <x:v>Casos ejecutados</x:v>
      </x:c>
      <x:c r="B7" s="13" t="n">
        <x:f>COUNTIF('Casos de prueba'!K5:K44,"Aprobado")+COUNTIF('Casos de prueba'!K5:K44,"Fallido")</x:f>
        <x:v>0</x:v>
      </x:c>
      <x:c r="C7" s="16"/>
      <x:c r="D7" s="16"/>
      <x:c r="E7" s="16"/>
      <x:c r="F7" s="16"/>
      <x:c r="G7" s="16"/>
      <x:c r="H7" s="16"/>
      <x:c r="I7" s="16"/>
      <x:c r="J7" s="16"/>
      <x:c r="K7" s="16"/>
    </x:row>
    <x:row r="8">
      <x:c r="A8" s="12" t="str">
        <x:v>Casos aprobados</x:v>
      </x:c>
      <x:c r="B8" s="13" t="n">
        <x:f>COUNTIF('Casos de prueba'!K5:K44,"Aprobado")</x:f>
        <x:v>0</x:v>
      </x:c>
      <x:c r="C8" s="16"/>
      <x:c r="D8" s="16"/>
      <x:c r="E8" s="16"/>
      <x:c r="F8" s="16"/>
      <x:c r="G8" s="16"/>
      <x:c r="H8" s="16"/>
      <x:c r="I8" s="16"/>
      <x:c r="J8" s="16"/>
      <x:c r="K8" s="16"/>
    </x:row>
    <x:row r="9">
      <x:c r="A9" s="12" t="str">
        <x:v>Casos fallidos</x:v>
      </x:c>
      <x:c r="B9" s="13" t="n">
        <x:f>COUNTIF('Casos de prueba'!K5:K44,"Fallido")</x:f>
        <x:v>0</x:v>
      </x:c>
      <x:c r="C9" s="16"/>
      <x:c r="D9" s="16"/>
      <x:c r="E9" s="16"/>
      <x:c r="F9" s="16"/>
      <x:c r="G9" s="16"/>
      <x:c r="H9" s="16"/>
      <x:c r="I9" s="16"/>
      <x:c r="J9" s="16"/>
      <x:c r="K9" s="16"/>
    </x:row>
    <x:row r="10">
      <x:c r="A10" s="12" t="str">
        <x:v>Tasa de aprobación</x:v>
      </x:c>
      <x:c r="B10" s="14" t="n">
        <x:f>IF(B7=0,0,B8/B7)</x:f>
        <x:v>0</x:v>
      </x:c>
      <x:c r="C10" s="16"/>
      <x:c r="D10" s="16"/>
      <x:c r="E10" s="16"/>
      <x:c r="F10" s="16"/>
      <x:c r="G10" s="16"/>
      <x:c r="H10" s="16"/>
      <x:c r="I10" s="16"/>
      <x:c r="J10" s="16"/>
      <x:c r="K10" s="16"/>
    </x:row>
    <x:row r="11">
      <x:c r="A11" s="12" t="str">
        <x:v>Defectos registrados</x:v>
      </x:c>
      <x:c r="B11" s="13" t="n">
        <x:f>COUNTA(Defectos!A5:A14)</x:f>
        <x:v>10</x:v>
      </x:c>
      <x:c r="C11" s="16"/>
      <x:c r="D11" s="16"/>
      <x:c r="E11" s="16"/>
      <x:c r="F11" s="16"/>
      <x:c r="G11" s="16"/>
      <x:c r="H11" s="16"/>
      <x:c r="I11" s="16"/>
      <x:c r="J11" s="16"/>
      <x:c r="K11" s="16"/>
    </x:row>
    <x:row r="12">
      <x:c r="A12" s="12" t="str">
        <x:v>Requerimientos funcionales sin cobertura</x:v>
      </x:c>
      <x:c r="B12" s="13" t="n">
        <x:f>COUNTIF(Trazabilidad!F5:F25,"Sin cobertura")</x:f>
        <x:v>0</x:v>
      </x:c>
      <x:c r="C12" s="16"/>
      <x:c r="D12" s="16"/>
      <x:c r="E12" s="16"/>
      <x:c r="F12" s="16"/>
      <x:c r="G12" s="16"/>
      <x:c r="H12" s="16"/>
      <x:c r="I12" s="16"/>
      <x:c r="J12" s="16"/>
      <x:c r="K12" s="16"/>
    </x:row>
    <x:row r="13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</x:row>
    <x:row r="14">
      <x:c r="A14" s="8" t="str">
        <x:v>Defectos por severidad</x:v>
      </x:c>
      <x:c r="B14" s="8" t="str">
        <x:v>Cantidad</x:v>
      </x:c>
      <x:c r="C14" s="16"/>
      <x:c r="D14" s="16"/>
      <x:c r="E14" s="16"/>
      <x:c r="F14" s="16"/>
      <x:c r="G14" s="16"/>
      <x:c r="H14" s="16"/>
      <x:c r="I14" s="16"/>
      <x:c r="J14" s="16"/>
      <x:c r="K14" s="16"/>
    </x:row>
    <x:row r="15">
      <x:c r="A15" s="12" t="str">
        <x:v>Crítica</x:v>
      </x:c>
      <x:c r="B15" s="12" t="n">
        <x:f>COUNTIF(Defectos!E5:E14,A15)</x:f>
        <x:v>4</x:v>
      </x:c>
      <x:c r="C15" s="16"/>
      <x:c r="D15" s="16"/>
      <x:c r="E15" s="16"/>
      <x:c r="F15" s="16"/>
      <x:c r="G15" s="16"/>
      <x:c r="H15" s="16"/>
      <x:c r="I15" s="16"/>
      <x:c r="J15" s="16"/>
      <x:c r="K15" s="16"/>
    </x:row>
    <x:row r="16">
      <x:c r="A16" s="12" t="str">
        <x:v>Alta</x:v>
      </x:c>
      <x:c r="B16" s="12" t="n">
        <x:f>COUNTIF(Defectos!E5:E14,A16)</x:f>
        <x:v>5</x:v>
      </x:c>
      <x:c r="C16" s="16"/>
      <x:c r="D16" s="16"/>
      <x:c r="E16" s="16"/>
      <x:c r="F16" s="16"/>
      <x:c r="G16" s="16"/>
      <x:c r="H16" s="16"/>
      <x:c r="I16" s="16"/>
      <x:c r="J16" s="16"/>
      <x:c r="K16" s="16"/>
    </x:row>
    <x:row r="17">
      <x:c r="A17" s="12" t="str">
        <x:v>Media</x:v>
      </x:c>
      <x:c r="B17" s="12" t="n">
        <x:f>COUNTIF(Defectos!E5:E14,A17)</x:f>
        <x:v>1</x:v>
      </x:c>
      <x:c r="C17" s="16"/>
      <x:c r="D17" s="16"/>
      <x:c r="E17" s="16"/>
      <x:c r="F17" s="16"/>
      <x:c r="G17" s="16"/>
      <x:c r="H17" s="16"/>
      <x:c r="I17" s="16"/>
      <x:c r="J17" s="16"/>
      <x:c r="K17" s="16"/>
    </x:row>
    <x:row r="18">
      <x:c r="A18" s="12" t="str">
        <x:v>Baja</x:v>
      </x:c>
      <x:c r="B18" s="12" t="n">
        <x:f>COUNTIF(Defectos!E5:E14,A18)</x:f>
        <x:v>0</x:v>
      </x:c>
      <x:c r="C18" s="16"/>
      <x:c r="D18" s="16"/>
      <x:c r="E18" s="16"/>
      <x:c r="F18" s="16"/>
      <x:c r="G18" s="16"/>
      <x:c r="H18" s="16"/>
      <x:c r="I18" s="16"/>
      <x:c r="J18" s="16"/>
      <x:c r="K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</x:row>
    <x:row r="20">
      <x:c r="A20" s="8" t="str">
        <x:v>Control</x:v>
      </x:c>
      <x:c r="B20" s="8" t="str">
        <x:v>Valor</x:v>
      </x:c>
      <x:c r="C20" s="16"/>
      <x:c r="D20" s="16"/>
      <x:c r="E20" s="16"/>
      <x:c r="F20" s="16"/>
      <x:c r="G20" s="16"/>
      <x:c r="H20" s="16"/>
      <x:c r="I20" s="16"/>
      <x:c r="J20" s="16"/>
      <x:c r="K20" s="16"/>
    </x:row>
    <x:row r="21">
      <x:c r="A21" s="12" t="str">
        <x:v>Fecha de corte</x:v>
      </x:c>
      <x:c r="B21" s="15" t="n">
        <x:v>46278.75</x:v>
      </x:c>
      <x:c r="C21" s="16"/>
      <x:c r="D21" s="16"/>
      <x:c r="E21" s="16"/>
      <x:c r="F21" s="16"/>
      <x:c r="G21" s="16"/>
      <x:c r="H21" s="16"/>
      <x:c r="I21" s="16"/>
      <x:c r="J21" s="16"/>
      <x:c r="K21" s="16"/>
    </x:row>
    <x:row r="22">
      <x:c r="A22" s="12" t="str">
        <x:v>Ambiente</x:v>
      </x:c>
      <x:c r="B22" s="12" t="str">
        <x:v>QA académico</x:v>
      </x:c>
      <x:c r="C22" s="16"/>
      <x:c r="D22" s="16"/>
      <x:c r="E22" s="16"/>
      <x:c r="F22" s="16"/>
      <x:c r="G22" s="16"/>
      <x:c r="H22" s="16"/>
      <x:c r="I22" s="16"/>
      <x:c r="J22" s="16"/>
      <x:c r="K22" s="16"/>
    </x:row>
    <x:row r="23">
      <x:c r="A23" s="12" t="str">
        <x:v>Repositorio</x:v>
      </x:c>
      <x:c r="B23" s="12" t="str">
        <x:v>github.com/dennismorales12/proyecto-final-control-calidad-2026-kmiss</x:v>
      </x:c>
      <x:c r="C23" s="16"/>
      <x:c r="D23" s="16"/>
      <x:c r="E23" s="16"/>
      <x:c r="F23" s="16"/>
      <x:c r="G23" s="16"/>
      <x:c r="H23" s="16"/>
      <x:c r="I23" s="16"/>
      <x:c r="J23" s="16"/>
      <x:c r="K23" s="16"/>
    </x:row>
    <x:row r="24">
      <x:c r="A24" s="12" t="str">
        <x:v>Herramienta de ejecución</x:v>
      </x:c>
      <x:c r="B24" s="12" t="str">
        <x:v>Azure DevOps Test Plans</x:v>
      </x:c>
      <x:c r="C24" s="16"/>
      <x:c r="D24" s="16"/>
      <x:c r="E24" s="16"/>
      <x:c r="F24" s="16"/>
      <x:c r="G24" s="16"/>
      <x:c r="H24" s="16"/>
      <x:c r="I24" s="16"/>
      <x:c r="J24" s="16"/>
      <x:c r="K24" s="16"/>
    </x:row>
    <x:row r="25">
      <x:c r="A25" s="12" t="str">
        <x:v>Nota</x:v>
      </x:c>
      <x:c r="B25" s="12" t="str">
        <x:v>Los resultados cambian al actualizar la columna Ejecución de Casos de prueba.</x:v>
      </x:c>
      <x:c r="C25" s="16"/>
      <x:c r="D25" s="16"/>
      <x:c r="E25" s="16"/>
      <x:c r="F25" s="16"/>
      <x:c r="G25" s="16"/>
      <x:c r="H25" s="16"/>
      <x:c r="I25" s="16"/>
      <x:c r="J25" s="16"/>
      <x:c r="K25" s="16"/>
    </x:row>
  </x:sheetData>
  <x:pageMargins left="0.7" right="0.7" top="0.75" bottom="0.75" header="0.3" footer="0.3"/>
  <x:drawing xmlns:r="http://schemas.openxmlformats.org/officeDocument/2006/relationships" r:id="Re5ef727beca94cd3"/>
</x:worksheet>
</file>

<file path=xl/worksheets/sheet2.xml><?xml version="1.0" encoding="utf-8"?>
<x:worksheet xmlns:x="http://schemas.openxmlformats.org/spreadsheetml/2006/main">
  <x:sheetPr>
    <x:tabColor rgb="FFC59A45"/>
  </x:sheetPr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0" hidden="0" customWidth="1"/>
    <x:col min="2" max="2" width="34" hidden="0" customWidth="1"/>
    <x:col min="3" max="3" width="15" hidden="0" customWidth="1"/>
    <x:col min="4" max="4" width="24" hidden="0" customWidth="1"/>
    <x:col min="5" max="5" width="38" hidden="0" customWidth="1"/>
    <x:col min="6" max="6" width="32" hidden="0" customWidth="1"/>
    <x:col min="7" max="7" width="48" hidden="0" customWidth="1"/>
    <x:col min="8" max="8" width="48" hidden="0" customWidth="1"/>
    <x:col min="9" max="9" width="12" hidden="0" customWidth="1"/>
    <x:col min="10" max="10" width="16" hidden="0" customWidth="1"/>
    <x:col min="11" max="11" width="16" hidden="0" customWidth="1"/>
    <x:col min="12" max="12" width="12" hidden="0" customWidth="1"/>
  </x:cols>
  <x:sheetData>
    <x:row r="2">
      <x:c r="A2" s="1" t="str">
        <x:v>Diseño y ejecución de casos de prueba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</x:row>
    <x:row r="3">
      <x:c r="A3" s="2" t="str">
        <x:v>Técnicas formales y resultados vinculados a los requerimientos</x:v>
      </x:c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</x:row>
    <x:row r="4">
      <x:c r="A4" s="8" t="str">
        <x:v>ID</x:v>
      </x:c>
      <x:c r="B4" s="8" t="str">
        <x:v>Título</x:v>
      </x:c>
      <x:c r="C4" s="8" t="str">
        <x:v>Requerimiento</x:v>
      </x:c>
      <x:c r="D4" s="8" t="str">
        <x:v>Técnica</x:v>
      </x:c>
      <x:c r="E4" s="8" t="str">
        <x:v>Precondiciones</x:v>
      </x:c>
      <x:c r="F4" s="8" t="str">
        <x:v>Datos de prueba</x:v>
      </x:c>
      <x:c r="G4" s="8" t="str">
        <x:v>Pasos</x:v>
      </x:c>
      <x:c r="H4" s="8" t="str">
        <x:v>Resultado esperado</x:v>
      </x:c>
      <x:c r="I4" s="8" t="str">
        <x:v>Prioridad</x:v>
      </x:c>
      <x:c r="J4" s="8" t="str">
        <x:v>Ambiente</x:v>
      </x:c>
      <x:c r="K4" s="8" t="str">
        <x:v>Ejecución</x:v>
      </x:c>
      <x:c r="L4" s="8" t="str">
        <x:v>Defecto</x:v>
      </x:c>
    </x:row>
    <x:row r="5">
      <x:c r="A5" s="12" t="str">
        <x:v>CP-01</x:v>
      </x:c>
      <x:c r="B5" s="12" t="str">
        <x:v>Inicio de sesión con credenciales válidas</x:v>
      </x:c>
      <x:c r="C5" s="12" t="str">
        <x:v>RF-01</x:v>
      </x:c>
      <x:c r="D5" s="12" t="str">
        <x:v>Partición de equivalencia</x:v>
      </x:c>
      <x:c r="E5" s="17" t="str">
        <x:v>Existe un administrador activo y la API está disponible.</x:v>
      </x:c>
      <x:c r="F5" s="17" t="str">
        <x:v>Correo registrado; contraseña correcta.</x:v>
      </x:c>
      <x:c r="G5" s="17" t="str">
        <x:v>1. Abrir el inicio de sesión.
2. Ingresar correo y contraseña válidos.
3. Seleccionar Ingresar.</x:v>
      </x:c>
      <x:c r="H5" s="17" t="str">
        <x:v>El sistema responde 200, entrega un token y muestra el panel correspondiente al rol.</x:v>
      </x:c>
      <x:c r="I5" s="12" t="str">
        <x:v>Alta</x:v>
      </x:c>
      <x:c r="J5" s="12" t="str">
        <x:v>QA académico</x:v>
      </x:c>
      <x:c r="K5" s="12" t="str">
        <x:v>No ejecutado</x:v>
      </x:c>
      <x:c r="L5" s="12" t="str"/>
    </x:row>
    <x:row r="6">
      <x:c r="A6" s="12" t="str">
        <x:v>CP-02</x:v>
      </x:c>
      <x:c r="B6" s="12" t="str">
        <x:v>Rechazo de credenciales inválidas</x:v>
      </x:c>
      <x:c r="C6" s="12" t="str">
        <x:v>RF-01</x:v>
      </x:c>
      <x:c r="D6" s="12" t="str">
        <x:v>Partición de equivalencia</x:v>
      </x:c>
      <x:c r="E6" s="17" t="str">
        <x:v>Existe un usuario activo.</x:v>
      </x:c>
      <x:c r="F6" s="17" t="str">
        <x:v>Correo registrado; contraseña incorrecta.</x:v>
      </x:c>
      <x:c r="G6" s="17" t="str">
        <x:v>1. Abrir el inicio de sesión.
2. Ingresar el correo y una contraseña incorrecta.
3. Seleccionar Ingresar.</x:v>
      </x:c>
      <x:c r="H6" s="17" t="str">
        <x:v>El sistema responde 401 con un mensaje genérico y no crea una sesión.</x:v>
      </x:c>
      <x:c r="I6" s="12" t="str">
        <x:v>Alta</x:v>
      </x:c>
      <x:c r="J6" s="12" t="str">
        <x:v>QA académico</x:v>
      </x:c>
      <x:c r="K6" s="12" t="str">
        <x:v>No ejecutado</x:v>
      </x:c>
      <x:c r="L6" s="12" t="str"/>
    </x:row>
    <x:row r="7">
      <x:c r="A7" s="12" t="str">
        <x:v>CP-03</x:v>
      </x:c>
      <x:c r="B7" s="12" t="str">
        <x:v>Campos obligatorios del inicio de sesión</x:v>
      </x:c>
      <x:c r="C7" s="12" t="str">
        <x:v>RF-01</x:v>
      </x:c>
      <x:c r="D7" s="12" t="str">
        <x:v>Tabla de decisión</x:v>
      </x:c>
      <x:c r="E7" s="17" t="str">
        <x:v>La API está disponible.</x:v>
      </x:c>
      <x:c r="F7" s="17" t="str">
        <x:v>Combinaciones: correo vacío/lleno y contraseña vacía/llena.</x:v>
      </x:c>
      <x:c r="G7" s="17" t="str">
        <x:v>1. Ejecutar las cuatro combinaciones de presencia de correo y contraseña.
2. Registrar código y mensaje de cada respuesta.</x:v>
      </x:c>
      <x:c r="H7" s="17" t="str">
        <x:v>Solo la combinación con ambos datos continúa a validar credenciales; las otras responden 400.</x:v>
      </x:c>
      <x:c r="I7" s="12" t="str">
        <x:v>Alta</x:v>
      </x:c>
      <x:c r="J7" s="12" t="str">
        <x:v>QA académico</x:v>
      </x:c>
      <x:c r="K7" s="12" t="str">
        <x:v>No ejecutado</x:v>
      </x:c>
      <x:c r="L7" s="12" t="str"/>
    </x:row>
    <x:row r="8">
      <x:c r="A8" s="12" t="str">
        <x:v>CP-04</x:v>
      </x:c>
      <x:c r="B8" s="12" t="str">
        <x:v>Acceso a recurso protegido según token</x:v>
      </x:c>
      <x:c r="C8" s="12" t="str">
        <x:v>RF-02</x:v>
      </x:c>
      <x:c r="D8" s="12" t="str">
        <x:v>Tabla de decisión</x:v>
      </x:c>
      <x:c r="E8" s="17" t="str">
        <x:v>Existe un token válido y se dispone de uno alterado.</x:v>
      </x:c>
      <x:c r="F8" s="17" t="str">
        <x:v>Sin token; token alterado; token válido.</x:v>
      </x:c>
      <x:c r="G8" s="17" t="str">
        <x:v>1. Solicitar GET /api/auth/me con cada condición.
2. Comparar códigos de respuesta.</x:v>
      </x:c>
      <x:c r="H8" s="17" t="str">
        <x:v>Sin token se obtiene 401, con token alterado se rechaza el acceso y con token válido se obtiene 200.</x:v>
      </x:c>
      <x:c r="I8" s="12" t="str">
        <x:v>Alta</x:v>
      </x:c>
      <x:c r="J8" s="12" t="str">
        <x:v>QA académico</x:v>
      </x:c>
      <x:c r="K8" s="12" t="str">
        <x:v>No ejecutado</x:v>
      </x:c>
      <x:c r="L8" s="12" t="str"/>
    </x:row>
    <x:row r="9">
      <x:c r="A9" s="12" t="str">
        <x:v>CP-05</x:v>
      </x:c>
      <x:c r="B9" s="12" t="str">
        <x:v>Acceso al módulo Usuarios por rol</x:v>
      </x:c>
      <x:c r="C9" s="12" t="str">
        <x:v>RF-02</x:v>
      </x:c>
      <x:c r="D9" s="12" t="str">
        <x:v>Partición de equivalencia</x:v>
      </x:c>
      <x:c r="E9" s="17" t="str">
        <x:v>Existen cuentas activas de administrador, recepción y médico.</x:v>
      </x:c>
      <x:c r="F9" s="17" t="str">
        <x:v>Token de cada rol.</x:v>
      </x:c>
      <x:c r="G9" s="17" t="str">
        <x:v>1. Solicitar GET /api/usuarios con cada token.
2. Registrar las respuestas.</x:v>
      </x:c>
      <x:c r="H9" s="17" t="str">
        <x:v>Administrador obtiene 200; recepción y médico obtienen 403.</x:v>
      </x:c>
      <x:c r="I9" s="12" t="str">
        <x:v>Alta</x:v>
      </x:c>
      <x:c r="J9" s="12" t="str">
        <x:v>QA académico</x:v>
      </x:c>
      <x:c r="K9" s="12" t="str">
        <x:v>No ejecutado</x:v>
      </x:c>
      <x:c r="L9" s="12" t="str"/>
    </x:row>
    <x:row r="10">
      <x:c r="A10" s="12" t="str">
        <x:v>CP-06</x:v>
      </x:c>
      <x:c r="B10" s="12" t="str">
        <x:v>Longitud mínima de contraseña de usuario</x:v>
      </x:c>
      <x:c r="C10" s="12" t="str">
        <x:v>RF-03</x:v>
      </x:c>
      <x:c r="D10" s="12" t="str">
        <x:v>Análisis de valores límite</x:v>
      </x:c>
      <x:c r="E10" s="17" t="str">
        <x:v>Administrador autenticado; correo nuevo por intento.</x:v>
      </x:c>
      <x:c r="F10" s="17" t="str">
        <x:v>Contraseñas de 5, 6 y 7 caracteres.</x:v>
      </x:c>
      <x:c r="G10" s="17" t="str">
        <x:v>1. Crear un usuario con cada longitud.
2. Consultar el listado tras cada intento.</x:v>
      </x:c>
      <x:c r="H10" s="17" t="str">
        <x:v>Cinco caracteres se rechazan; seis y siete se aceptan y almacenan como hash.</x:v>
      </x:c>
      <x:c r="I10" s="12" t="str">
        <x:v>Alta</x:v>
      </x:c>
      <x:c r="J10" s="12" t="str">
        <x:v>QA académico</x:v>
      </x:c>
      <x:c r="K10" s="12" t="str">
        <x:v>No ejecutado</x:v>
      </x:c>
      <x:c r="L10" s="12" t="str"/>
    </x:row>
    <x:row r="11">
      <x:c r="A11" s="12" t="str">
        <x:v>CP-07</x:v>
      </x:c>
      <x:c r="B11" s="12" t="str">
        <x:v>Correo duplicado al crear usuario</x:v>
      </x:c>
      <x:c r="C11" s="12" t="str">
        <x:v>RF-03</x:v>
      </x:c>
      <x:c r="D11" s="12" t="str">
        <x:v>Partición de equivalencia</x:v>
      </x:c>
      <x:c r="E11" s="17" t="str">
        <x:v>Administrador autenticado; existe usuario usuario.qa@kmiss.test.</x:v>
      </x:c>
      <x:c r="F11" s="17" t="str">
        <x:v>El mismo correo con datos distintos.</x:v>
      </x:c>
      <x:c r="G11" s="17" t="str">
        <x:v>1. Intentar crear otro usuario con el correo existente.
2. Consultar usuarios.</x:v>
      </x:c>
      <x:c r="H11" s="17" t="str">
        <x:v>La API responde 409 y conserva un solo usuario con ese correo.</x:v>
      </x:c>
      <x:c r="I11" s="12" t="str">
        <x:v>Alta</x:v>
      </x:c>
      <x:c r="J11" s="12" t="str">
        <x:v>QA académico</x:v>
      </x:c>
      <x:c r="K11" s="12" t="str">
        <x:v>No ejecutado</x:v>
      </x:c>
      <x:c r="L11" s="12" t="str"/>
    </x:row>
    <x:row r="12">
      <x:c r="A12" s="12" t="str">
        <x:v>CP-08</x:v>
      </x:c>
      <x:c r="B12" s="12" t="str">
        <x:v>Autoprotección de la cuenta administradora</x:v>
      </x:c>
      <x:c r="C12" s="12" t="str">
        <x:v>RF-03</x:v>
      </x:c>
      <x:c r="D12" s="12" t="str">
        <x:v>Tabla de decisión</x:v>
      </x:c>
      <x:c r="E12" s="17" t="str">
        <x:v>Administrador autenticado con id conocido.</x:v>
      </x:c>
      <x:c r="F12" s="17" t="str">
        <x:v>Cambiar rol propio; desactivar cuenta propia; editar nombre propio.</x:v>
      </x:c>
      <x:c r="G12" s="17" t="str">
        <x:v>1. Ejecutar cada modificación sobre el id de la sesión.
2. Volver a consultar la cuenta.</x:v>
      </x:c>
      <x:c r="H12" s="17" t="str">
        <x:v>Cambiar rol o desactivar se rechaza; modificar el nombre se permite.</x:v>
      </x:c>
      <x:c r="I12" s="12" t="str">
        <x:v>Alta</x:v>
      </x:c>
      <x:c r="J12" s="12" t="str">
        <x:v>QA académico</x:v>
      </x:c>
      <x:c r="K12" s="12" t="str">
        <x:v>No ejecutado</x:v>
      </x:c>
      <x:c r="L12" s="12" t="str"/>
    </x:row>
    <x:row r="13">
      <x:c r="A13" s="12" t="str">
        <x:v>CP-09</x:v>
      </x:c>
      <x:c r="B13" s="12" t="str">
        <x:v>Registro de paciente con NIT válido</x:v>
      </x:c>
      <x:c r="C13" s="12" t="str">
        <x:v>RF-04</x:v>
      </x:c>
      <x:c r="D13" s="12" t="str">
        <x:v>Partición de equivalencia</x:v>
      </x:c>
      <x:c r="E13" s="17" t="str">
        <x:v>Recepción autenticada; NIT no utilizado.</x:v>
      </x:c>
      <x:c r="F13" s="17" t="str">
        <x:v>NIT 1234567K; nombre Ana Pérez; teléfono 55550001.</x:v>
      </x:c>
      <x:c r="G13" s="17" t="str">
        <x:v>1. Abrir Pacientes.
2. Registrar los datos.
3. Guardar y buscar por NIT.</x:v>
      </x:c>
      <x:c r="H13" s="17" t="str">
        <x:v>Se crea una ficha y la búsqueda devuelve los datos normalizados.</x:v>
      </x:c>
      <x:c r="I13" s="12" t="str">
        <x:v>Alta</x:v>
      </x:c>
      <x:c r="J13" s="12" t="str">
        <x:v>QA académico</x:v>
      </x:c>
      <x:c r="K13" s="12" t="str">
        <x:v>No ejecutado</x:v>
      </x:c>
      <x:c r="L13" s="12" t="str"/>
    </x:row>
    <x:row r="14">
      <x:c r="A14" s="12" t="str">
        <x:v>CP-10</x:v>
      </x:c>
      <x:c r="B14" s="12" t="str">
        <x:v>NIT duplicado de paciente</x:v>
      </x:c>
      <x:c r="C14" s="12" t="str">
        <x:v>RF-04</x:v>
      </x:c>
      <x:c r="D14" s="12" t="str">
        <x:v>Partición de equivalencia</x:v>
      </x:c>
      <x:c r="E14" s="17" t="str">
        <x:v>Existe un paciente con NIT 1234567K.</x:v>
      </x:c>
      <x:c r="F14" s="17" t="str">
        <x:v>Mismo NIT con otro nombre.</x:v>
      </x:c>
      <x:c r="G14" s="17" t="str">
        <x:v>1. Intentar registrar la segunda ficha.
2. Buscar el NIT.</x:v>
      </x:c>
      <x:c r="H14" s="17" t="str">
        <x:v>La API responde 409 y no crea una ficha duplicada.</x:v>
      </x:c>
      <x:c r="I14" s="12" t="str">
        <x:v>Alta</x:v>
      </x:c>
      <x:c r="J14" s="12" t="str">
        <x:v>QA académico</x:v>
      </x:c>
      <x:c r="K14" s="12" t="str">
        <x:v>No ejecutado</x:v>
      </x:c>
      <x:c r="L14" s="12" t="str"/>
    </x:row>
    <x:row r="15">
      <x:c r="A15" s="12" t="str">
        <x:v>CP-11</x:v>
      </x:c>
      <x:c r="B15" s="12" t="str">
        <x:v>Paciente inexistente en consulta individual</x:v>
      </x:c>
      <x:c r="C15" s="12" t="str">
        <x:v>RF-04</x:v>
      </x:c>
      <x:c r="D15" s="12" t="str">
        <x:v>Análisis de valores límite</x:v>
      </x:c>
      <x:c r="E15" s="17" t="str">
        <x:v>Usuario autenticado; se conoce el id máximo actual.</x:v>
      </x:c>
      <x:c r="F15" s="17" t="str">
        <x:v>Id inexistente mayor que el máximo.</x:v>
      </x:c>
      <x:c r="G15" s="17" t="str">
        <x:v>1. Solicitar GET /api/pacientes/{id}.
2. Registrar código y cuerpo.</x:v>
      </x:c>
      <x:c r="H15" s="17" t="str">
        <x:v>La API responde 404 y no devuelve datos de otro paciente.</x:v>
      </x:c>
      <x:c r="I15" s="12" t="str">
        <x:v>Alta</x:v>
      </x:c>
      <x:c r="J15" s="12" t="str">
        <x:v>QA académico</x:v>
      </x:c>
      <x:c r="K15" s="12" t="str">
        <x:v>No ejecutado</x:v>
      </x:c>
      <x:c r="L15" s="12" t="str"/>
    </x:row>
    <x:row r="16">
      <x:c r="A16" s="12" t="str">
        <x:v>CP-12</x:v>
      </x:c>
      <x:c r="B16" s="12" t="str">
        <x:v>Historial de paciente con y sin movimientos</x:v>
      </x:c>
      <x:c r="C16" s="12" t="str">
        <x:v>RF-05</x:v>
      </x:c>
      <x:c r="D16" s="12" t="str">
        <x:v>Partición de equivalencia</x:v>
      </x:c>
      <x:c r="E16" s="17" t="str">
        <x:v>Existen un paciente con citas/ventas y otro sin movimientos.</x:v>
      </x:c>
      <x:c r="F16" s="17" t="str">
        <x:v>Id de ambos pacientes.</x:v>
      </x:c>
      <x:c r="G16" s="17" t="str">
        <x:v>1. Consultar el historial de cada paciente.
2. Comparar las secciones de resultados.</x:v>
      </x:c>
      <x:c r="H16" s="17" t="str">
        <x:v>Ambas consultas responden 200; el primero contiene movimientos y el segundo contiene listas vacías.</x:v>
      </x:c>
      <x:c r="I16" s="12" t="str">
        <x:v>Alta</x:v>
      </x:c>
      <x:c r="J16" s="12" t="str">
        <x:v>QA académico</x:v>
      </x:c>
      <x:c r="K16" s="12" t="str">
        <x:v>No ejecutado</x:v>
      </x:c>
      <x:c r="L16" s="12" t="str"/>
    </x:row>
    <x:row r="17">
      <x:c r="A17" s="12" t="str">
        <x:v>CP-13</x:v>
      </x:c>
      <x:c r="B17" s="12" t="str">
        <x:v>Historial de paciente inexistente</x:v>
      </x:c>
      <x:c r="C17" s="12" t="str">
        <x:v>RF-05</x:v>
      </x:c>
      <x:c r="D17" s="12" t="str">
        <x:v>Análisis de valores límite</x:v>
      </x:c>
      <x:c r="E17" s="17" t="str">
        <x:v>Usuario autenticado; id no existente.</x:v>
      </x:c>
      <x:c r="F17" s="17" t="str">
        <x:v>Id 2147483647.</x:v>
      </x:c>
      <x:c r="G17" s="17" t="str">
        <x:v>1. Solicitar GET /api/pacientes/2147483647/historial.
2. Registrar respuesta.</x:v>
      </x:c>
      <x:c r="H17" s="17" t="str">
        <x:v>La API responde 404 indicando que el paciente no existe.</x:v>
      </x:c>
      <x:c r="I17" s="12" t="str">
        <x:v>Alta</x:v>
      </x:c>
      <x:c r="J17" s="12" t="str">
        <x:v>QA académico</x:v>
      </x:c>
      <x:c r="K17" s="12" t="str">
        <x:v>No ejecutado</x:v>
      </x:c>
      <x:c r="L17" s="12" t="str"/>
    </x:row>
    <x:row r="18">
      <x:c r="A18" s="12" t="str">
        <x:v>CP-14</x:v>
      </x:c>
      <x:c r="B18" s="12" t="str">
        <x:v>Duración mínima de un servicio</x:v>
      </x:c>
      <x:c r="C18" s="12" t="str">
        <x:v>RF-06</x:v>
      </x:c>
      <x:c r="D18" s="12" t="str">
        <x:v>Análisis de valores límite</x:v>
      </x:c>
      <x:c r="E18" s="17" t="str">
        <x:v>Administrador autenticado.</x:v>
      </x:c>
      <x:c r="F18" s="17" t="str">
        <x:v>Duraciones 0, 1 y 2 minutos; precio 100.</x:v>
      </x:c>
      <x:c r="G18" s="17" t="str">
        <x:v>1. Intentar crear un servicio con cada duración.
2. Consultar Servicios.</x:v>
      </x:c>
      <x:c r="H18" s="17" t="str">
        <x:v>Cero se rechaza; uno y dos se aceptan si cumplen las demás reglas.</x:v>
      </x:c>
      <x:c r="I18" s="12" t="str">
        <x:v>Alta</x:v>
      </x:c>
      <x:c r="J18" s="12" t="str">
        <x:v>QA académico</x:v>
      </x:c>
      <x:c r="K18" s="12" t="str">
        <x:v>No ejecutado</x:v>
      </x:c>
      <x:c r="L18" s="12" t="str"/>
    </x:row>
    <x:row r="19">
      <x:c r="A19" s="12" t="str">
        <x:v>CP-15</x:v>
      </x:c>
      <x:c r="B19" s="12" t="str">
        <x:v>Precio no negativo de servicio</x:v>
      </x:c>
      <x:c r="C19" s="12" t="str">
        <x:v>RF-06</x:v>
      </x:c>
      <x:c r="D19" s="12" t="str">
        <x:v>Análisis de valores límite</x:v>
      </x:c>
      <x:c r="E19" s="17" t="str">
        <x:v>Administrador autenticado.</x:v>
      </x:c>
      <x:c r="F19" s="17" t="str">
        <x:v>Precios -0.01, 0.00 y 0.01.</x:v>
      </x:c>
      <x:c r="G19" s="17" t="str">
        <x:v>1. Crear servicios con los tres precios.
2. Consultar los valores guardados.</x:v>
      </x:c>
      <x:c r="H19" s="17" t="str">
        <x:v>El precio negativo se rechaza; cero y 0.01 se almacenan correctamente.</x:v>
      </x:c>
      <x:c r="I19" s="12" t="str">
        <x:v>Alta</x:v>
      </x:c>
      <x:c r="J19" s="12" t="str">
        <x:v>QA académico</x:v>
      </x:c>
      <x:c r="K19" s="12" t="str">
        <x:v>No ejecutado</x:v>
      </x:c>
      <x:c r="L19" s="12" t="str"/>
    </x:row>
    <x:row r="20">
      <x:c r="A20" s="12" t="str">
        <x:v>CP-16</x:v>
      </x:c>
      <x:c r="B20" s="12" t="str">
        <x:v>Bloques semanales sin traslape</x:v>
      </x:c>
      <x:c r="C20" s="12" t="str">
        <x:v>RF-07</x:v>
      </x:c>
      <x:c r="D20" s="12" t="str">
        <x:v>Tabla de decisión</x:v>
      </x:c>
      <x:c r="E20" s="17" t="str">
        <x:v>Administrador autenticado; existe médico y sede.</x:v>
      </x:c>
      <x:c r="F20" s="17" t="str">
        <x:v>Bloque A 08:00-12:00; B 11:30-13:00; C 13:00-17:00.</x:v>
      </x:c>
      <x:c r="G20" s="17" t="str">
        <x:v>1. Guardar A+B.
2. Guardar A+C.
3. Consultar la agenda semanal.</x:v>
      </x:c>
      <x:c r="H20" s="17" t="str">
        <x:v>A+B se rechaza por traslape; A+C se acepta.</x:v>
      </x:c>
      <x:c r="I20" s="12" t="str">
        <x:v>Alta</x:v>
      </x:c>
      <x:c r="J20" s="12" t="str">
        <x:v>QA académico</x:v>
      </x:c>
      <x:c r="K20" s="12" t="str">
        <x:v>No ejecutado</x:v>
      </x:c>
      <x:c r="L20" s="12" t="str"/>
    </x:row>
    <x:row r="21">
      <x:c r="A21" s="12" t="str">
        <x:v>CP-17</x:v>
      </x:c>
      <x:c r="B21" s="12" t="str">
        <x:v>Orden de horas en bloqueo médico</x:v>
      </x:c>
      <x:c r="C21" s="12" t="str">
        <x:v>RF-07</x:v>
      </x:c>
      <x:c r="D21" s="12" t="str">
        <x:v>Análisis de valores límite</x:v>
      </x:c>
      <x:c r="E21" s="17" t="str">
        <x:v>Administrador autenticado.</x:v>
      </x:c>
      <x:c r="F21" s="17" t="str">
        <x:v>08:00-07:59; 08:00-08:00; 08:00-08:01.</x:v>
      </x:c>
      <x:c r="G21" s="17" t="str">
        <x:v>1. Intentar crear cada bloqueo.
2. Consultar los bloqueos persistidos.</x:v>
      </x:c>
      <x:c r="H21" s="17" t="str">
        <x:v>Los dos primeros se rechazan y el tercero se acepta.</x:v>
      </x:c>
      <x:c r="I21" s="12" t="str">
        <x:v>Alta</x:v>
      </x:c>
      <x:c r="J21" s="12" t="str">
        <x:v>QA académico</x:v>
      </x:c>
      <x:c r="K21" s="12" t="str">
        <x:v>No ejecutado</x:v>
      </x:c>
      <x:c r="L21" s="12" t="str"/>
    </x:row>
    <x:row r="22">
      <x:c r="A22" s="12" t="str">
        <x:v>CP-18</x:v>
      </x:c>
      <x:c r="B22" s="12" t="str">
        <x:v>Disponibilidad excluye horario ocupado</x:v>
      </x:c>
      <x:c r="C22" s="12" t="str">
        <x:v>RF-08</x:v>
      </x:c>
      <x:c r="D22" s="12" t="str">
        <x:v>Partición de equivalencia</x:v>
      </x:c>
      <x:c r="E22" s="17" t="str">
        <x:v>Médico con turno 08:00-12:00; servicio de 30 min; cita 09:00.</x:v>
      </x:c>
      <x:c r="F22" s="17" t="str">
        <x:v>Fecha futura con agenda configurada.</x:v>
      </x:c>
      <x:c r="G22" s="17" t="str">
        <x:v>1. Consultar disponibilidad.
2. Revisar la lista de horas.</x:v>
      </x:c>
      <x:c r="H22" s="17" t="str">
        <x:v>09:00 no aparece; los demás espacios libres dentro del turno sí aparecen.</x:v>
      </x:c>
      <x:c r="I22" s="12" t="str">
        <x:v>Alta</x:v>
      </x:c>
      <x:c r="J22" s="12" t="str">
        <x:v>QA académico</x:v>
      </x:c>
      <x:c r="K22" s="12" t="str">
        <x:v>No ejecutado</x:v>
      </x:c>
      <x:c r="L22" s="12" t="str"/>
    </x:row>
    <x:row r="23">
      <x:c r="A23" s="12" t="str">
        <x:v>CP-19</x:v>
      </x:c>
      <x:c r="B23" s="12" t="str">
        <x:v>Disponibilidad en fecha pasada</x:v>
      </x:c>
      <x:c r="C23" s="12" t="str">
        <x:v>RF-08</x:v>
      </x:c>
      <x:c r="D23" s="12" t="str">
        <x:v>Análisis de valores límite</x:v>
      </x:c>
      <x:c r="E23" s="17" t="str">
        <x:v>Existe agenda para ayer, hoy y mañana.</x:v>
      </x:c>
      <x:c r="F23" s="17" t="str">
        <x:v>Fechas ayer, hoy y mañana.</x:v>
      </x:c>
      <x:c r="G23" s="17" t="str">
        <x:v>1. Consultar disponibilidad para cada fecha.
2. Comparar las horas devueltas.</x:v>
      </x:c>
      <x:c r="H23" s="17" t="str">
        <x:v>No se ofrecen horas pasadas; hoy solo ofrece horas futuras y mañana ofrece el turno configurado.</x:v>
      </x:c>
      <x:c r="I23" s="12" t="str">
        <x:v>Alta</x:v>
      </x:c>
      <x:c r="J23" s="12" t="str">
        <x:v>QA académico</x:v>
      </x:c>
      <x:c r="K23" s="12" t="str">
        <x:v>No ejecutado</x:v>
      </x:c>
      <x:c r="L23" s="12" t="str"/>
    </x:row>
    <x:row r="24">
      <x:c r="A24" s="12" t="str">
        <x:v>CP-20</x:v>
      </x:c>
      <x:c r="B24" s="12" t="str">
        <x:v>Creación concurrente de la misma cita</x:v>
      </x:c>
      <x:c r="C24" s="12" t="str">
        <x:v>RF-09</x:v>
      </x:c>
      <x:c r="D24" s="12" t="str">
        <x:v>Transición de estados</x:v>
      </x:c>
      <x:c r="E24" s="17" t="str">
        <x:v>Un horario futuro está libre.</x:v>
      </x:c>
      <x:c r="F24" s="17" t="str">
        <x:v>Dos solicitudes simultáneas con el mismo médico, sede, servicio y hora.</x:v>
      </x:c>
      <x:c r="G24" s="17" t="str">
        <x:v>1. Enviar ambas solicitudes en paralelo.
2. Consultar citas de la hora.</x:v>
      </x:c>
      <x:c r="H24" s="17" t="str">
        <x:v>Solo una solicitud crea la cita; la otra se rechaza y existe un único registro.</x:v>
      </x:c>
      <x:c r="I24" s="12" t="str">
        <x:v>Alta</x:v>
      </x:c>
      <x:c r="J24" s="12" t="str">
        <x:v>QA académico</x:v>
      </x:c>
      <x:c r="K24" s="12" t="str">
        <x:v>No ejecutado</x:v>
      </x:c>
      <x:c r="L24" s="12" t="str"/>
    </x:row>
    <x:row r="25">
      <x:c r="A25" s="12" t="str">
        <x:v>CP-21</x:v>
      </x:c>
      <x:c r="B25" s="12" t="str">
        <x:v>Médico modifica únicamente su cita</x:v>
      </x:c>
      <x:c r="C25" s="12" t="str">
        <x:v>RF-02</x:v>
      </x:c>
      <x:c r="D25" s="12" t="str">
        <x:v>Tabla de decisión</x:v>
      </x:c>
      <x:c r="E25" s="17" t="str">
        <x:v>Existen médicos A y B, cada uno con una cita.</x:v>
      </x:c>
      <x:c r="F25" s="17" t="str">
        <x:v>Token A; id de cita A; id de cita B.</x:v>
      </x:c>
      <x:c r="G25" s="17" t="str">
        <x:v>1. Editar la cita A con token A.
2. Intentar editar la cita B con token A.
3. Consultar ambas citas.</x:v>
      </x:c>
      <x:c r="H25" s="17" t="str">
        <x:v>La cita propia se actualiza y la ajena responde 403 sin modificaciones.</x:v>
      </x:c>
      <x:c r="I25" s="12" t="str">
        <x:v>Alta</x:v>
      </x:c>
      <x:c r="J25" s="12" t="str">
        <x:v>QA académico</x:v>
      </x:c>
      <x:c r="K25" s="12" t="str">
        <x:v>No ejecutado</x:v>
      </x:c>
      <x:c r="L25" s="12" t="str"/>
    </x:row>
    <x:row r="26">
      <x:c r="A26" s="12" t="str">
        <x:v>CP-22</x:v>
      </x:c>
      <x:c r="B26" s="12" t="str">
        <x:v>Solicitud pública de cita completa</x:v>
      </x:c>
      <x:c r="C26" s="12" t="str">
        <x:v>RF-10</x:v>
      </x:c>
      <x:c r="D26" s="12" t="str">
        <x:v>Partición de equivalencia</x:v>
      </x:c>
      <x:c r="E26" s="17" t="str">
        <x:v>Existe un horario futuro disponible.</x:v>
      </x:c>
      <x:c r="F26" s="17" t="str">
        <x:v>NIT, nombre, teléfono, servicio, médico, sede y hora válidos.</x:v>
      </x:c>
      <x:c r="G26" s="17" t="str">
        <x:v>1. Abrir el portal público.
2. Seleccionar servicio y horario.
3. Completar datos y confirmar.</x:v>
      </x:c>
      <x:c r="H26" s="17" t="str">
        <x:v>Se crea o actualiza el paciente y se registra una cita en estado solicitada.</x:v>
      </x:c>
      <x:c r="I26" s="12" t="str">
        <x:v>Alta</x:v>
      </x:c>
      <x:c r="J26" s="12" t="str">
        <x:v>QA académico</x:v>
      </x:c>
      <x:c r="K26" s="12" t="str">
        <x:v>No ejecutado</x:v>
      </x:c>
      <x:c r="L26" s="12" t="str"/>
    </x:row>
    <x:row r="27">
      <x:c r="A27" s="12" t="str">
        <x:v>CP-23</x:v>
      </x:c>
      <x:c r="B27" s="12" t="str">
        <x:v>Solicitud pública con combinación incompleta</x:v>
      </x:c>
      <x:c r="C27" s="12" t="str">
        <x:v>RF-10</x:v>
      </x:c>
      <x:c r="D27" s="12" t="str">
        <x:v>Tabla de decisión</x:v>
      </x:c>
      <x:c r="E27" s="17" t="str">
        <x:v>Portal disponible.</x:v>
      </x:c>
      <x:c r="F27" s="17" t="str">
        <x:v>Combinaciones con/sin NIT, nombre, teléfono y horario.</x:v>
      </x:c>
      <x:c r="G27" s="17" t="str">
        <x:v>1. Ejecutar combinaciones de campos obligatorios.
2. Consultar si se creó una cita.</x:v>
      </x:c>
      <x:c r="H27" s="17" t="str">
        <x:v>Solo la combinación completa crea la solicitud; las demás responden 400 sin cambios.</x:v>
      </x:c>
      <x:c r="I27" s="12" t="str">
        <x:v>Alta</x:v>
      </x:c>
      <x:c r="J27" s="12" t="str">
        <x:v>QA académico</x:v>
      </x:c>
      <x:c r="K27" s="12" t="str">
        <x:v>No ejecutado</x:v>
      </x:c>
      <x:c r="L27" s="12" t="str"/>
    </x:row>
    <x:row r="28">
      <x:c r="A28" s="12" t="str">
        <x:v>CP-24</x:v>
      </x:c>
      <x:c r="B28" s="12" t="str">
        <x:v>Transiciones permitidas de una cita</x:v>
      </x:c>
      <x:c r="C28" s="12" t="str">
        <x:v>RF-11</x:v>
      </x:c>
      <x:c r="D28" s="12" t="str">
        <x:v>Transición de estados</x:v>
      </x:c>
      <x:c r="E28" s="17" t="str">
        <x:v>Existen citas solicitada, programada, confirmada, atendida y cancelada.</x:v>
      </x:c>
      <x:c r="F28" s="17" t="str">
        <x:v>Transiciones solicitada→confirmada; programada→confirmada; confirmada→atendida; atendida→programada; cancelada→confirmada.</x:v>
      </x:c>
      <x:c r="G28" s="17" t="str">
        <x:v>1. Ejecutar cada transición.
2. Consultar el estado después de cada intento.</x:v>
      </x:c>
      <x:c r="H28" s="17" t="str">
        <x:v>Se aceptan solo las transiciones definidas; las regresiones y cambios desde estados terminales se rechazan.</x:v>
      </x:c>
      <x:c r="I28" s="12" t="str">
        <x:v>Alta</x:v>
      </x:c>
      <x:c r="J28" s="12" t="str">
        <x:v>QA académico</x:v>
      </x:c>
      <x:c r="K28" s="12" t="str">
        <x:v>No ejecutado</x:v>
      </x:c>
      <x:c r="L28" s="12" t="str"/>
    </x:row>
    <x:row r="29">
      <x:c r="A29" s="12" t="str">
        <x:v>CP-25</x:v>
      </x:c>
      <x:c r="B29" s="12" t="str">
        <x:v>Valores límite del precio de producto</x:v>
      </x:c>
      <x:c r="C29" s="12" t="str">
        <x:v>RF-12</x:v>
      </x:c>
      <x:c r="D29" s="12" t="str">
        <x:v>Análisis de valores límite</x:v>
      </x:c>
      <x:c r="E29" s="17" t="str">
        <x:v>Administrador autenticado.</x:v>
      </x:c>
      <x:c r="F29" s="17" t="str">
        <x:v>Precios -0.01, 0.00 y 0.01.</x:v>
      </x:c>
      <x:c r="G29" s="17" t="str">
        <x:v>1. Crear un producto con cada precio.
2. Consultar Inventario.</x:v>
      </x:c>
      <x:c r="H29" s="17" t="str">
        <x:v>El precio negativo se rechaza; cero y 0.01 se guardan.</x:v>
      </x:c>
      <x:c r="I29" s="12" t="str">
        <x:v>Alta</x:v>
      </x:c>
      <x:c r="J29" s="12" t="str">
        <x:v>QA académico</x:v>
      </x:c>
      <x:c r="K29" s="12" t="str">
        <x:v>No ejecutado</x:v>
      </x:c>
      <x:c r="L29" s="12" t="str"/>
    </x:row>
    <x:row r="30">
      <x:c r="A30" s="12" t="str">
        <x:v>CP-26</x:v>
      </x:c>
      <x:c r="B30" s="12" t="str">
        <x:v>Stock no inferior al reservado</x:v>
      </x:c>
      <x:c r="C30" s="12" t="str">
        <x:v>RF-12</x:v>
      </x:c>
      <x:c r="D30" s="12" t="str">
        <x:v>Análisis de valores límite</x:v>
      </x:c>
      <x:c r="E30" s="17" t="str">
        <x:v>Producto con 5 unidades reservadas.</x:v>
      </x:c>
      <x:c r="F30" s="17" t="str">
        <x:v>Stock nuevo 4, 5 y 6.</x:v>
      </x:c>
      <x:c r="G30" s="17" t="str">
        <x:v>1. Actualizar el producto con cada valor.
2. Consultar stock actual y reservado.</x:v>
      </x:c>
      <x:c r="H30" s="17" t="str">
        <x:v>Cuatro se rechaza; cinco y seis se aceptan sin alterar la reserva.</x:v>
      </x:c>
      <x:c r="I30" s="12" t="str">
        <x:v>Alta</x:v>
      </x:c>
      <x:c r="J30" s="12" t="str">
        <x:v>QA académico</x:v>
      </x:c>
      <x:c r="K30" s="12" t="str">
        <x:v>No ejecutado</x:v>
      </x:c>
      <x:c r="L30" s="12" t="str"/>
    </x:row>
    <x:row r="31">
      <x:c r="A31" s="12" t="str">
        <x:v>CP-27</x:v>
      </x:c>
      <x:c r="B31" s="12" t="str">
        <x:v>Alcance de una promoción</x:v>
      </x:c>
      <x:c r="C31" s="12" t="str">
        <x:v>RF-13</x:v>
      </x:c>
      <x:c r="D31" s="12" t="str">
        <x:v>Tabla de decisión</x:v>
      </x:c>
      <x:c r="E31" s="17" t="str">
        <x:v>Administrador autenticado; existen producto y categoría.</x:v>
      </x:c>
      <x:c r="F31" s="17" t="str">
        <x:v>Producto sí/no y categoría sí/no.</x:v>
      </x:c>
      <x:c r="G31" s="17" t="str">
        <x:v>1. Crear una promoción para las cuatro combinaciones.
2. Consultar promociones.</x:v>
      </x:c>
      <x:c r="H31" s="17" t="str">
        <x:v>Se acepta exactamente un alcance; ninguno o ambos se rechazan.</x:v>
      </x:c>
      <x:c r="I31" s="12" t="str">
        <x:v>Alta</x:v>
      </x:c>
      <x:c r="J31" s="12" t="str">
        <x:v>QA académico</x:v>
      </x:c>
      <x:c r="K31" s="12" t="str">
        <x:v>No ejecutado</x:v>
      </x:c>
      <x:c r="L31" s="12" t="str"/>
    </x:row>
    <x:row r="32">
      <x:c r="A32" s="12" t="str">
        <x:v>CP-28</x:v>
      </x:c>
      <x:c r="B32" s="12" t="str">
        <x:v>Porcentaje límite de promoción</x:v>
      </x:c>
      <x:c r="C32" s="12" t="str">
        <x:v>RF-13</x:v>
      </x:c>
      <x:c r="D32" s="12" t="str">
        <x:v>Análisis de valores límite</x:v>
      </x:c>
      <x:c r="E32" s="17" t="str">
        <x:v>Administrador autenticado.</x:v>
      </x:c>
      <x:c r="F32" s="17" t="str">
        <x:v>Descuentos 0, 0.01, 99.99, 100 y 100.01 por ciento.</x:v>
      </x:c>
      <x:c r="G32" s="17" t="str">
        <x:v>1. Crear una promoción con cada porcentaje.
2. Consultar las promociones guardadas.</x:v>
      </x:c>
      <x:c r="H32" s="17" t="str">
        <x:v>Se aceptan valores mayores que 0 y hasta 100 inclusive; los demás se rechazan.</x:v>
      </x:c>
      <x:c r="I32" s="12" t="str">
        <x:v>Alta</x:v>
      </x:c>
      <x:c r="J32" s="12" t="str">
        <x:v>QA académico</x:v>
      </x:c>
      <x:c r="K32" s="12" t="str">
        <x:v>No ejecutado</x:v>
      </x:c>
      <x:c r="L32" s="12" t="str"/>
    </x:row>
    <x:row r="33">
      <x:c r="A33" s="12" t="str">
        <x:v>CP-29</x:v>
      </x:c>
      <x:c r="B33" s="12" t="str">
        <x:v>Venta con producto y servicio válidos</x:v>
      </x:c>
      <x:c r="C33" s="12" t="str">
        <x:v>RF-14</x:v>
      </x:c>
      <x:c r="D33" s="12" t="str">
        <x:v>Partición de equivalencia</x:v>
      </x:c>
      <x:c r="E33" s="17" t="str">
        <x:v>Recepción autenticada; producto con stock 10; servicio activo.</x:v>
      </x:c>
      <x:c r="F33" s="17" t="str">
        <x:v>Producto cantidad 2 y servicio cantidad 1.</x:v>
      </x:c>
      <x:c r="G33" s="17" t="str">
        <x:v>1. Agregar ambos artículos.
2. Seleccionar método de pago.
3. Confirmar venta.</x:v>
      </x:c>
      <x:c r="H33" s="17" t="str">
        <x:v>La API calcula importes con precios vigentes, crea cabecera y detalles y devuelve estado completada.</x:v>
      </x:c>
      <x:c r="I33" s="12" t="str">
        <x:v>Alta</x:v>
      </x:c>
      <x:c r="J33" s="12" t="str">
        <x:v>QA académico</x:v>
      </x:c>
      <x:c r="K33" s="12" t="str">
        <x:v>No ejecutado</x:v>
      </x:c>
      <x:c r="L33" s="12" t="str"/>
    </x:row>
    <x:row r="34">
      <x:c r="A34" s="12" t="str">
        <x:v>CP-30</x:v>
      </x:c>
      <x:c r="B34" s="12" t="str">
        <x:v>Venta con cantidad no positiva</x:v>
      </x:c>
      <x:c r="C34" s="12" t="str">
        <x:v>RF-14</x:v>
      </x:c>
      <x:c r="D34" s="12" t="str">
        <x:v>Análisis de valores límite</x:v>
      </x:c>
      <x:c r="E34" s="17" t="str">
        <x:v>Recepción autenticada; producto con stock 10.</x:v>
      </x:c>
      <x:c r="F34" s="17" t="str">
        <x:v>Cantidades -1, 0 y 1.</x:v>
      </x:c>
      <x:c r="G34" s="17" t="str">
        <x:v>1. Intentar registrar cada venta.
2. Consultar ventas e inventario.</x:v>
      </x:c>
      <x:c r="H34" s="17" t="str">
        <x:v>Las cantidades -1 y 0 se rechazan; cantidad 1 crea la venta y descuenta una unidad.</x:v>
      </x:c>
      <x:c r="I34" s="12" t="str">
        <x:v>Alta</x:v>
      </x:c>
      <x:c r="J34" s="12" t="str">
        <x:v>QA académico</x:v>
      </x:c>
      <x:c r="K34" s="12" t="str">
        <x:v>No ejecutado</x:v>
      </x:c>
      <x:c r="L34" s="12" t="str"/>
    </x:row>
    <x:row r="35">
      <x:c r="A35" s="12" t="str">
        <x:v>CP-31</x:v>
      </x:c>
      <x:c r="B35" s="12" t="str">
        <x:v>Precio de venta calculado por el servidor</x:v>
      </x:c>
      <x:c r="C35" s="12" t="str">
        <x:v>RF-14</x:v>
      </x:c>
      <x:c r="D35" s="12" t="str">
        <x:v>Partición de equivalencia</x:v>
      </x:c>
      <x:c r="E35" s="17" t="str">
        <x:v>Producto con precio vigente Q100.</x:v>
      </x:c>
      <x:c r="F35" s="17" t="str">
        <x:v>precio_unitario enviado Q1 y Q999.</x:v>
      </x:c>
      <x:c r="G35" s="17" t="str">
        <x:v>1. Registrar ventas manipulando el precio enviado.
2. Consultar los detalles guardados.</x:v>
      </x:c>
      <x:c r="H35" s="17" t="str">
        <x:v>El servidor ignora el precio del cliente y utiliza Q100 en ambos casos.</x:v>
      </x:c>
      <x:c r="I35" s="12" t="str">
        <x:v>Alta</x:v>
      </x:c>
      <x:c r="J35" s="12" t="str">
        <x:v>QA académico</x:v>
      </x:c>
      <x:c r="K35" s="12" t="str">
        <x:v>No ejecutado</x:v>
      </x:c>
      <x:c r="L35" s="12" t="str"/>
    </x:row>
    <x:row r="36">
      <x:c r="A36" s="12" t="str">
        <x:v>CP-32</x:v>
      </x:c>
      <x:c r="B36" s="12" t="str">
        <x:v>Atomicidad ante stock insuficiente</x:v>
      </x:c>
      <x:c r="C36" s="12" t="str">
        <x:v>RF-15</x:v>
      </x:c>
      <x:c r="D36" s="12" t="str">
        <x:v>Tabla de decisión</x:v>
      </x:c>
      <x:c r="E36" s="17" t="str">
        <x:v>Producto A con stock 5 y B con stock 0.</x:v>
      </x:c>
      <x:c r="F36" s="17" t="str">
        <x:v>Venta A=1 y B=1; venta solo A=1.</x:v>
      </x:c>
      <x:c r="G36" s="17" t="str">
        <x:v>1. Registrar la venta con A+B.
2. Consultar ventas y stock.
3. Registrar venta solo A.</x:v>
      </x:c>
      <x:c r="H36" s="17" t="str">
        <x:v>A+B se revierte completa; la venta solo A se completa y descuenta una unidad.</x:v>
      </x:c>
      <x:c r="I36" s="12" t="str">
        <x:v>Alta</x:v>
      </x:c>
      <x:c r="J36" s="12" t="str">
        <x:v>QA académico</x:v>
      </x:c>
      <x:c r="K36" s="12" t="str">
        <x:v>No ejecutado</x:v>
      </x:c>
      <x:c r="L36" s="12" t="str"/>
    </x:row>
    <x:row r="37">
      <x:c r="A37" s="12" t="str">
        <x:v>CP-33</x:v>
      </x:c>
      <x:c r="B37" s="12" t="str">
        <x:v>Anulación única de una venta</x:v>
      </x:c>
      <x:c r="C37" s="12" t="str">
        <x:v>RF-16</x:v>
      </x:c>
      <x:c r="D37" s="12" t="str">
        <x:v>Transición de estados</x:v>
      </x:c>
      <x:c r="E37" s="17" t="str">
        <x:v>Venta completada con dos unidades de producto.</x:v>
      </x:c>
      <x:c r="F37" s="17" t="str">
        <x:v>Transiciones completada→anulada y anulada→anulada.</x:v>
      </x:c>
      <x:c r="G37" s="17" t="str">
        <x:v>1. Registrar stock inicial.
2. Anular la venta.
3. Intentar anularla otra vez.
4. Consultar stock.</x:v>
      </x:c>
      <x:c r="H37" s="17" t="str">
        <x:v>La primera anulación restituye dos unidades; la segunda se rechaza y no altera el stock.</x:v>
      </x:c>
      <x:c r="I37" s="12" t="str">
        <x:v>Alta</x:v>
      </x:c>
      <x:c r="J37" s="12" t="str">
        <x:v>QA académico</x:v>
      </x:c>
      <x:c r="K37" s="12" t="str">
        <x:v>No ejecutado</x:v>
      </x:c>
      <x:c r="L37" s="12" t="str"/>
    </x:row>
    <x:row r="38">
      <x:c r="A38" s="12" t="str">
        <x:v>CP-34</x:v>
      </x:c>
      <x:c r="B38" s="12" t="str">
        <x:v>Visibilidad del catálogo público</x:v>
      </x:c>
      <x:c r="C38" s="12" t="str">
        <x:v>RF-17</x:v>
      </x:c>
      <x:c r="D38" s="12" t="str">
        <x:v>Tabla de decisión</x:v>
      </x:c>
      <x:c r="E38" s="17" t="str">
        <x:v>Existen productos activos/inactivos y con/sin stock disponible.</x:v>
      </x:c>
      <x:c r="F38" s="17" t="str">
        <x:v>Cuatro combinaciones de activo y stock disponible.</x:v>
      </x:c>
      <x:c r="G38" s="17" t="str">
        <x:v>1. Consultar GET /api/tienda/productos.
2. Buscar cada producto.</x:v>
      </x:c>
      <x:c r="H38" s="17" t="str">
        <x:v>Solo aparecen productos activos con stock disponible mayor que cero.</x:v>
      </x:c>
      <x:c r="I38" s="12" t="str">
        <x:v>Alta</x:v>
      </x:c>
      <x:c r="J38" s="12" t="str">
        <x:v>QA académico</x:v>
      </x:c>
      <x:c r="K38" s="12" t="str">
        <x:v>No ejecutado</x:v>
      </x:c>
      <x:c r="L38" s="12" t="str"/>
    </x:row>
    <x:row r="39">
      <x:c r="A39" s="12" t="str">
        <x:v>CP-35</x:v>
      </x:c>
      <x:c r="B39" s="12" t="str">
        <x:v>Pedido público reserva existencias</x:v>
      </x:c>
      <x:c r="C39" s="12" t="str">
        <x:v>RF-18</x:v>
      </x:c>
      <x:c r="D39" s="12" t="str">
        <x:v>Partición de equivalencia</x:v>
      </x:c>
      <x:c r="E39" s="17" t="str">
        <x:v>Producto activo con stock disponible 10.</x:v>
      </x:c>
      <x:c r="F39" s="17" t="str">
        <x:v>Pedido de 3 unidades con datos completos.</x:v>
      </x:c>
      <x:c r="G39" s="17" t="str">
        <x:v>1. Registrar el pedido público.
2. Consultar pedido y producto.</x:v>
      </x:c>
      <x:c r="H39" s="17" t="str">
        <x:v>Se crea un pedido nuevo, reserva 3 unidades y fija expiración 24 horas después.</x:v>
      </x:c>
      <x:c r="I39" s="12" t="str">
        <x:v>Alta</x:v>
      </x:c>
      <x:c r="J39" s="12" t="str">
        <x:v>QA académico</x:v>
      </x:c>
      <x:c r="K39" s="12" t="str">
        <x:v>No ejecutado</x:v>
      </x:c>
      <x:c r="L39" s="12" t="str"/>
    </x:row>
    <x:row r="40">
      <x:c r="A40" s="12" t="str">
        <x:v>CP-36</x:v>
      </x:c>
      <x:c r="B40" s="12" t="str">
        <x:v>Pedido público supera stock disponible</x:v>
      </x:c>
      <x:c r="C40" s="12" t="str">
        <x:v>RF-18</x:v>
      </x:c>
      <x:c r="D40" s="12" t="str">
        <x:v>Análisis de valores límite</x:v>
      </x:c>
      <x:c r="E40" s="17" t="str">
        <x:v>Producto con 10 unidades y 4 reservadas; disponibilidad 6.</x:v>
      </x:c>
      <x:c r="F40" s="17" t="str">
        <x:v>Cantidades 6 y 7.</x:v>
      </x:c>
      <x:c r="G40" s="17" t="str">
        <x:v>1. Registrar pedido por 6 unidades.
2. Restaurar el escenario.
3. Registrar pedido por 7 unidades.</x:v>
      </x:c>
      <x:c r="H40" s="17" t="str">
        <x:v>Seis se acepta; siete se rechaza sin crear pedido ni cambiar la reserva.</x:v>
      </x:c>
      <x:c r="I40" s="12" t="str">
        <x:v>Alta</x:v>
      </x:c>
      <x:c r="J40" s="12" t="str">
        <x:v>QA académico</x:v>
      </x:c>
      <x:c r="K40" s="12" t="str">
        <x:v>No ejecutado</x:v>
      </x:c>
      <x:c r="L40" s="12" t="str"/>
    </x:row>
    <x:row r="41">
      <x:c r="A41" s="12" t="str">
        <x:v>CP-37</x:v>
      </x:c>
      <x:c r="B41" s="12" t="str">
        <x:v>Ciclo válido de pedido</x:v>
      </x:c>
      <x:c r="C41" s="12" t="str">
        <x:v>RF-19</x:v>
      </x:c>
      <x:c r="D41" s="12" t="str">
        <x:v>Transición de estados</x:v>
      </x:c>
      <x:c r="E41" s="17" t="str">
        <x:v>Pedido nuevo con reserva vigente.</x:v>
      </x:c>
      <x:c r="F41" s="17" t="str">
        <x:v>nuevo→contactado→esperando_pago→pagado→preparando→entregado.</x:v>
      </x:c>
      <x:c r="G41" s="17" t="str">
        <x:v>1. Ejecutar el ciclo en orden.
2. Consultar estado y marcas de tiempo en cada paso.</x:v>
      </x:c>
      <x:c r="H41" s="17" t="str">
        <x:v>Todas las transiciones se aceptan en orden y el estado final es entregado.</x:v>
      </x:c>
      <x:c r="I41" s="12" t="str">
        <x:v>Alta</x:v>
      </x:c>
      <x:c r="J41" s="12" t="str">
        <x:v>QA académico</x:v>
      </x:c>
      <x:c r="K41" s="12" t="str">
        <x:v>No ejecutado</x:v>
      </x:c>
      <x:c r="L41" s="12" t="str"/>
    </x:row>
    <x:row r="42">
      <x:c r="A42" s="12" t="str">
        <x:v>CP-38</x:v>
      </x:c>
      <x:c r="B42" s="12" t="str">
        <x:v>Transiciones inválidas de pedido</x:v>
      </x:c>
      <x:c r="C42" s="12" t="str">
        <x:v>RF-19</x:v>
      </x:c>
      <x:c r="D42" s="12" t="str">
        <x:v>Transición de estados</x:v>
      </x:c>
      <x:c r="E42" s="17" t="str">
        <x:v>Existen pedidos nuevo, pagado, entregado y cancelado.</x:v>
      </x:c>
      <x:c r="F42" s="17" t="str">
        <x:v>nuevo→entregado; entregado→preparando; cancelado→pagado.</x:v>
      </x:c>
      <x:c r="G42" s="17" t="str">
        <x:v>1. Intentar cada transición.
2. Consultar el estado posterior.</x:v>
      </x:c>
      <x:c r="H42" s="17" t="str">
        <x:v>Todas se rechazan y cada pedido conserva su estado anterior.</x:v>
      </x:c>
      <x:c r="I42" s="12" t="str">
        <x:v>Alta</x:v>
      </x:c>
      <x:c r="J42" s="12" t="str">
        <x:v>QA académico</x:v>
      </x:c>
      <x:c r="K42" s="12" t="str">
        <x:v>No ejecutado</x:v>
      </x:c>
      <x:c r="L42" s="12" t="str"/>
    </x:row>
    <x:row r="43">
      <x:c r="A43" s="12" t="str">
        <x:v>CP-39</x:v>
      </x:c>
      <x:c r="B43" s="12" t="str">
        <x:v>Confirmación de pago atómica</x:v>
      </x:c>
      <x:c r="C43" s="12" t="str">
        <x:v>RF-20</x:v>
      </x:c>
      <x:c r="D43" s="12" t="str">
        <x:v>Tabla de decisión</x:v>
      </x:c>
      <x:c r="E43" s="17" t="str">
        <x:v>Pedidos con reserva vigente/vencida y stock suficiente/insuficiente.</x:v>
      </x:c>
      <x:c r="F43" s="17" t="str">
        <x:v>Cuatro combinaciones de vigencia y stock.</x:v>
      </x:c>
      <x:c r="G43" s="17" t="str">
        <x:v>1. Confirmar el pago en cada escenario.
2. Consultar pedido, venta, detalles y stock.</x:v>
      </x:c>
      <x:c r="H43" s="17" t="str">
        <x:v>Solo reserva vigente con stock suficiente crea la venta y actualiza todo; los demás escenarios se revierten.</x:v>
      </x:c>
      <x:c r="I43" s="12" t="str">
        <x:v>Alta</x:v>
      </x:c>
      <x:c r="J43" s="12" t="str">
        <x:v>QA académico</x:v>
      </x:c>
      <x:c r="K43" s="12" t="str">
        <x:v>No ejecutado</x:v>
      </x:c>
      <x:c r="L43" s="12" t="str"/>
    </x:row>
    <x:row r="44">
      <x:c r="A44" s="12" t="str">
        <x:v>CP-40</x:v>
      </x:c>
      <x:c r="B44" s="12" t="str">
        <x:v>Indicadores mensuales excluyen anuladas</x:v>
      </x:c>
      <x:c r="C44" s="12" t="str">
        <x:v>RF-21</x:v>
      </x:c>
      <x:c r="D44" s="12" t="str">
        <x:v>Partición de equivalencia</x:v>
      </x:c>
      <x:c r="E44" s="17" t="str">
        <x:v>Mes con dos ventas completadas, una anulada y una venta de otro mes.</x:v>
      </x:c>
      <x:c r="F44" s="17" t="str">
        <x:v>Parámetro mes YYYY-MM.</x:v>
      </x:c>
      <x:c r="G44" s="17" t="str">
        <x:v>1. Consultar el dashboard del mes.
2. Comparar conteo, total y métodos con los datos preparados.</x:v>
      </x:c>
      <x:c r="H44" s="17" t="str">
        <x:v>Los indicadores incluyen solo las dos ventas completadas del mes solicitado.</x:v>
      </x:c>
      <x:c r="I44" s="12" t="str">
        <x:v>Alta</x:v>
      </x:c>
      <x:c r="J44" s="12" t="str">
        <x:v>QA académico</x:v>
      </x:c>
      <x:c r="K44" s="12" t="str">
        <x:v>No ejecutado</x:v>
      </x:c>
      <x:c r="L44" s="12" t="str"/>
    </x:row>
  </x:sheetData>
  <x:conditionalFormatting sqref="K5:K44">
    <x:cfRule type="containsText" dxfId="0" priority="1" operator="containsText" text="Fallido"/>
    <x:cfRule type="containsText" dxfId="1" priority="2" operator="containsText" text="Aprobado"/>
  </x:conditionalFormatting>
  <x:dataValidations count="2">
    <x:dataValidation type="list" sqref="I5:I44">
      <x:formula1>"Alta,Media,Baja"</x:formula1>
    </x:dataValidation>
    <x:dataValidation type="list" sqref="K5:K44">
      <x:formula1>"No ejecutado,Aprobado,Fallido,Bloqueado"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22" hidden="0" customWidth="1"/>
    <x:col min="3" max="3" width="34" hidden="0" customWidth="1"/>
    <x:col min="4" max="4" width="16" hidden="0" customWidth="1"/>
    <x:col min="5" max="5" width="18" hidden="0" customWidth="1"/>
    <x:col min="6" max="6" width="20" hidden="0" customWidth="1"/>
  </x:cols>
  <x:sheetData>
    <x:row r="2">
      <x:c r="A2" s="1" t="str">
        <x:v>Matriz de trazabilidad</x:v>
      </x:c>
      <x:c r="B2" s="16"/>
      <x:c r="C2" s="16"/>
      <x:c r="D2" s="16"/>
      <x:c r="E2" s="16"/>
      <x:c r="F2" s="16"/>
    </x:row>
    <x:row r="3">
      <x:c r="A3" s="2" t="str">
        <x:v>Cobertura de requerimientos, ejecución y defectos</x:v>
      </x:c>
      <x:c r="B3" s="16"/>
      <x:c r="C3" s="16"/>
      <x:c r="D3" s="16"/>
      <x:c r="E3" s="16"/>
      <x:c r="F3" s="16"/>
    </x:row>
    <x:row r="4">
      <x:c r="A4" s="8" t="str">
        <x:v>Requerimiento</x:v>
      </x:c>
      <x:c r="B4" s="8" t="str">
        <x:v>Módulo</x:v>
      </x:c>
      <x:c r="C4" s="8" t="str">
        <x:v>Casos de prueba</x:v>
      </x:c>
      <x:c r="D4" s="8" t="str">
        <x:v>Ejecución</x:v>
      </x:c>
      <x:c r="E4" s="8" t="str">
        <x:v>Defectos</x:v>
      </x:c>
      <x:c r="F4" s="8" t="str">
        <x:v>Estado de cobertura</x:v>
      </x:c>
    </x:row>
    <x:row r="5">
      <x:c r="A5" s="12" t="str">
        <x:v>RF-01</x:v>
      </x:c>
      <x:c r="B5" s="12" t="str">
        <x:v>Autenticación</x:v>
      </x:c>
      <x:c r="C5" s="12" t="str">
        <x:v>CP-01, CP-02, CP-03</x:v>
      </x:c>
      <x:c r="D5" s="12" t="str">
        <x:f>IF(COUNTIF('Casos de prueba'!$C$5:$C$44,A5)=0,"Sin casos",IF(COUNTIFS('Casos de prueba'!$C$5:$C$44,A5,'Casos de prueba'!$K$5:$K$44,"Fallido")&gt;0,"Fallido",IF(COUNTIFS('Casos de prueba'!$C$5:$C$44,A5,'Casos de prueba'!$K$5:$K$44,"Aprobado")=COUNTIF('Casos de prueba'!$C$5:$C$44,A5),"Aprobado","Pendiente")))</x:f>
        <x:v>Pendiente</x:v>
      </x:c>
      <x:c r="E5" s="12" t="str">
        <x:v>DEF-10</x:v>
      </x:c>
      <x:c r="F5" s="12" t="str">
        <x:f>IF(C5="","Sin cobertura","Cubierto")</x:f>
        <x:v>Cubierto</x:v>
      </x:c>
    </x:row>
    <x:row r="6">
      <x:c r="A6" s="12" t="str">
        <x:v>RF-02</x:v>
      </x:c>
      <x:c r="B6" s="12" t="str">
        <x:v>Autorización</x:v>
      </x:c>
      <x:c r="C6" s="12" t="str">
        <x:v>CP-04, CP-05, CP-21</x:v>
      </x:c>
      <x:c r="D6" s="12" t="str">
        <x:f>IF(COUNTIF('Casos de prueba'!$C$5:$C$44,A6)=0,"Sin casos",IF(COUNTIFS('Casos de prueba'!$C$5:$C$44,A6,'Casos de prueba'!$K$5:$K$44,"Fallido")&gt;0,"Fallido",IF(COUNTIFS('Casos de prueba'!$C$5:$C$44,A6,'Casos de prueba'!$K$5:$K$44,"Aprobado")=COUNTIF('Casos de prueba'!$C$5:$C$44,A6),"Aprobado","Pendiente")))</x:f>
        <x:v>Pendiente</x:v>
      </x:c>
      <x:c r="E6" s="12" t="str">
        <x:v>DEF-02, DEF-06</x:v>
      </x:c>
      <x:c r="F6" s="12" t="str">
        <x:f>IF(C6="","Sin cobertura","Cubierto")</x:f>
        <x:v>Cubierto</x:v>
      </x:c>
    </x:row>
    <x:row r="7">
      <x:c r="A7" s="12" t="str">
        <x:v>RF-03</x:v>
      </x:c>
      <x:c r="B7" s="12" t="str">
        <x:v>Usuarios</x:v>
      </x:c>
      <x:c r="C7" s="12" t="str">
        <x:v>CP-06, CP-07, CP-08</x:v>
      </x:c>
      <x:c r="D7" s="12" t="str">
        <x:f>IF(COUNTIF('Casos de prueba'!$C$5:$C$44,A7)=0,"Sin casos",IF(COUNTIFS('Casos de prueba'!$C$5:$C$44,A7,'Casos de prueba'!$K$5:$K$44,"Fallido")&gt;0,"Fallido",IF(COUNTIFS('Casos de prueba'!$C$5:$C$44,A7,'Casos de prueba'!$K$5:$K$44,"Aprobado")=COUNTIF('Casos de prueba'!$C$5:$C$44,A7),"Aprobado","Pendiente")))</x:f>
        <x:v>Pendiente</x:v>
      </x:c>
      <x:c r="E7" s="12" t="str"/>
      <x:c r="F7" s="12" t="str">
        <x:f>IF(C7="","Sin cobertura","Cubierto")</x:f>
        <x:v>Cubierto</x:v>
      </x:c>
    </x:row>
    <x:row r="8">
      <x:c r="A8" s="12" t="str">
        <x:v>RF-04</x:v>
      </x:c>
      <x:c r="B8" s="12" t="str">
        <x:v>Pacientes</x:v>
      </x:c>
      <x:c r="C8" s="12" t="str">
        <x:v>CP-09, CP-10, CP-11</x:v>
      </x:c>
      <x:c r="D8" s="12" t="str">
        <x:f>IF(COUNTIF('Casos de prueba'!$C$5:$C$44,A8)=0,"Sin casos",IF(COUNTIFS('Casos de prueba'!$C$5:$C$44,A8,'Casos de prueba'!$K$5:$K$44,"Fallido")&gt;0,"Fallido",IF(COUNTIFS('Casos de prueba'!$C$5:$C$44,A8,'Casos de prueba'!$K$5:$K$44,"Aprobado")=COUNTIF('Casos de prueba'!$C$5:$C$44,A8),"Aprobado","Pendiente")))</x:f>
        <x:v>Pendiente</x:v>
      </x:c>
      <x:c r="E8" s="12" t="str"/>
      <x:c r="F8" s="12" t="str">
        <x:f>IF(C8="","Sin cobertura","Cubierto")</x:f>
        <x:v>Cubierto</x:v>
      </x:c>
    </x:row>
    <x:row r="9">
      <x:c r="A9" s="12" t="str">
        <x:v>RF-05</x:v>
      </x:c>
      <x:c r="B9" s="12" t="str">
        <x:v>Historial</x:v>
      </x:c>
      <x:c r="C9" s="12" t="str">
        <x:v>CP-12, CP-13</x:v>
      </x:c>
      <x:c r="D9" s="12" t="str">
        <x:f>IF(COUNTIF('Casos de prueba'!$C$5:$C$44,A9)=0,"Sin casos",IF(COUNTIFS('Casos de prueba'!$C$5:$C$44,A9,'Casos de prueba'!$K$5:$K$44,"Fallido")&gt;0,"Fallido",IF(COUNTIFS('Casos de prueba'!$C$5:$C$44,A9,'Casos de prueba'!$K$5:$K$44,"Aprobado")=COUNTIF('Casos de prueba'!$C$5:$C$44,A9),"Aprobado","Pendiente")))</x:f>
        <x:v>Pendiente</x:v>
      </x:c>
      <x:c r="E9" s="12" t="str">
        <x:v>DEF-07</x:v>
      </x:c>
      <x:c r="F9" s="12" t="str">
        <x:f>IF(C9="","Sin cobertura","Cubierto")</x:f>
        <x:v>Cubierto</x:v>
      </x:c>
    </x:row>
    <x:row r="10">
      <x:c r="A10" s="12" t="str">
        <x:v>RF-06</x:v>
      </x:c>
      <x:c r="B10" s="12" t="str">
        <x:v>Servicios</x:v>
      </x:c>
      <x:c r="C10" s="12" t="str">
        <x:v>CP-14, CP-15</x:v>
      </x:c>
      <x:c r="D10" s="12" t="str">
        <x:f>IF(COUNTIF('Casos de prueba'!$C$5:$C$44,A10)=0,"Sin casos",IF(COUNTIFS('Casos de prueba'!$C$5:$C$44,A10,'Casos de prueba'!$K$5:$K$44,"Fallido")&gt;0,"Fallido",IF(COUNTIFS('Casos de prueba'!$C$5:$C$44,A10,'Casos de prueba'!$K$5:$K$44,"Aprobado")=COUNTIF('Casos de prueba'!$C$5:$C$44,A10),"Aprobado","Pendiente")))</x:f>
        <x:v>Pendiente</x:v>
      </x:c>
      <x:c r="E10" s="12" t="str">
        <x:v>DEF-08</x:v>
      </x:c>
      <x:c r="F10" s="12" t="str">
        <x:f>IF(C10="","Sin cobertura","Cubierto")</x:f>
        <x:v>Cubierto</x:v>
      </x:c>
    </x:row>
    <x:row r="11">
      <x:c r="A11" s="12" t="str">
        <x:v>RF-07</x:v>
      </x:c>
      <x:c r="B11" s="12" t="str">
        <x:v>Agenda médica</x:v>
      </x:c>
      <x:c r="C11" s="12" t="str">
        <x:v>CP-16, CP-17</x:v>
      </x:c>
      <x:c r="D11" s="12" t="str">
        <x:f>IF(COUNTIF('Casos de prueba'!$C$5:$C$44,A11)=0,"Sin casos",IF(COUNTIFS('Casos de prueba'!$C$5:$C$44,A11,'Casos de prueba'!$K$5:$K$44,"Fallido")&gt;0,"Fallido",IF(COUNTIFS('Casos de prueba'!$C$5:$C$44,A11,'Casos de prueba'!$K$5:$K$44,"Aprobado")=COUNTIF('Casos de prueba'!$C$5:$C$44,A11),"Aprobado","Pendiente")))</x:f>
        <x:v>Pendiente</x:v>
      </x:c>
      <x:c r="E11" s="12" t="str"/>
      <x:c r="F11" s="12" t="str">
        <x:f>IF(C11="","Sin cobertura","Cubierto")</x:f>
        <x:v>Cubierto</x:v>
      </x:c>
    </x:row>
    <x:row r="12">
      <x:c r="A12" s="12" t="str">
        <x:v>RF-08</x:v>
      </x:c>
      <x:c r="B12" s="12" t="str">
        <x:v>Disponibilidad</x:v>
      </x:c>
      <x:c r="C12" s="12" t="str">
        <x:v>CP-18, CP-19</x:v>
      </x:c>
      <x:c r="D12" s="12" t="str">
        <x:f>IF(COUNTIF('Casos de prueba'!$C$5:$C$44,A12)=0,"Sin casos",IF(COUNTIFS('Casos de prueba'!$C$5:$C$44,A12,'Casos de prueba'!$K$5:$K$44,"Fallido")&gt;0,"Fallido",IF(COUNTIFS('Casos de prueba'!$C$5:$C$44,A12,'Casos de prueba'!$K$5:$K$44,"Aprobado")=COUNTIF('Casos de prueba'!$C$5:$C$44,A12),"Aprobado","Pendiente")))</x:f>
        <x:v>Pendiente</x:v>
      </x:c>
      <x:c r="E12" s="12" t="str">
        <x:v>DEF-03</x:v>
      </x:c>
      <x:c r="F12" s="12" t="str">
        <x:f>IF(C12="","Sin cobertura","Cubierto")</x:f>
        <x:v>Cubierto</x:v>
      </x:c>
    </x:row>
    <x:row r="13">
      <x:c r="A13" s="12" t="str">
        <x:v>RF-09</x:v>
      </x:c>
      <x:c r="B13" s="12" t="str">
        <x:v>Cita interna</x:v>
      </x:c>
      <x:c r="C13" s="12" t="str">
        <x:v>CP-20</x:v>
      </x:c>
      <x:c r="D13" s="12" t="str">
        <x:f>IF(COUNTIF('Casos de prueba'!$C$5:$C$44,A13)=0,"Sin casos",IF(COUNTIFS('Casos de prueba'!$C$5:$C$44,A13,'Casos de prueba'!$K$5:$K$44,"Fallido")&gt;0,"Fallido",IF(COUNTIFS('Casos de prueba'!$C$5:$C$44,A13,'Casos de prueba'!$K$5:$K$44,"Aprobado")=COUNTIF('Casos de prueba'!$C$5:$C$44,A13),"Aprobado","Pendiente")))</x:f>
        <x:v>Pendiente</x:v>
      </x:c>
      <x:c r="E13" s="12" t="str">
        <x:v>DEF-02, DEF-03</x:v>
      </x:c>
      <x:c r="F13" s="12" t="str">
        <x:f>IF(C13="","Sin cobertura","Cubierto")</x:f>
        <x:v>Cubierto</x:v>
      </x:c>
    </x:row>
    <x:row r="14">
      <x:c r="A14" s="12" t="str">
        <x:v>RF-10</x:v>
      </x:c>
      <x:c r="B14" s="12" t="str">
        <x:v>Solicitud pública</x:v>
      </x:c>
      <x:c r="C14" s="12" t="str">
        <x:v>CP-22, CP-23</x:v>
      </x:c>
      <x:c r="D14" s="12" t="str">
        <x:f>IF(COUNTIF('Casos de prueba'!$C$5:$C$44,A14)=0,"Sin casos",IF(COUNTIFS('Casos de prueba'!$C$5:$C$44,A14,'Casos de prueba'!$K$5:$K$44,"Fallido")&gt;0,"Fallido",IF(COUNTIFS('Casos de prueba'!$C$5:$C$44,A14,'Casos de prueba'!$K$5:$K$44,"Aprobado")=COUNTIF('Casos de prueba'!$C$5:$C$44,A14),"Aprobado","Pendiente")))</x:f>
        <x:v>Pendiente</x:v>
      </x:c>
      <x:c r="E14" s="12" t="str"/>
      <x:c r="F14" s="12" t="str">
        <x:f>IF(C14="","Sin cobertura","Cubierto")</x:f>
        <x:v>Cubierto</x:v>
      </x:c>
    </x:row>
    <x:row r="15">
      <x:c r="A15" s="12" t="str">
        <x:v>RF-11</x:v>
      </x:c>
      <x:c r="B15" s="12" t="str">
        <x:v>Estado de cita</x:v>
      </x:c>
      <x:c r="C15" s="12" t="str">
        <x:v>CP-24</x:v>
      </x:c>
      <x:c r="D15" s="12" t="str">
        <x:f>IF(COUNTIF('Casos de prueba'!$C$5:$C$44,A15)=0,"Sin casos",IF(COUNTIFS('Casos de prueba'!$C$5:$C$44,A15,'Casos de prueba'!$K$5:$K$44,"Fallido")&gt;0,"Fallido",IF(COUNTIFS('Casos de prueba'!$C$5:$C$44,A15,'Casos de prueba'!$K$5:$K$44,"Aprobado")=COUNTIF('Casos de prueba'!$C$5:$C$44,A15),"Aprobado","Pendiente")))</x:f>
        <x:v>Pendiente</x:v>
      </x:c>
      <x:c r="E15" s="12" t="str">
        <x:v>DEF-01</x:v>
      </x:c>
      <x:c r="F15" s="12" t="str">
        <x:f>IF(C15="","Sin cobertura","Cubierto")</x:f>
        <x:v>Cubierto</x:v>
      </x:c>
    </x:row>
    <x:row r="16">
      <x:c r="A16" s="12" t="str">
        <x:v>RF-12</x:v>
      </x:c>
      <x:c r="B16" s="12" t="str">
        <x:v>Inventario</x:v>
      </x:c>
      <x:c r="C16" s="12" t="str">
        <x:v>CP-25, CP-26</x:v>
      </x:c>
      <x:c r="D16" s="12" t="str">
        <x:f>IF(COUNTIF('Casos de prueba'!$C$5:$C$44,A16)=0,"Sin casos",IF(COUNTIFS('Casos de prueba'!$C$5:$C$44,A16,'Casos de prueba'!$K$5:$K$44,"Fallido")&gt;0,"Fallido",IF(COUNTIFS('Casos de prueba'!$C$5:$C$44,A16,'Casos de prueba'!$K$5:$K$44,"Aprobado")=COUNTIF('Casos de prueba'!$C$5:$C$44,A16),"Aprobado","Pendiente")))</x:f>
        <x:v>Pendiente</x:v>
      </x:c>
      <x:c r="E16" s="12" t="str">
        <x:v>DEF-09</x:v>
      </x:c>
      <x:c r="F16" s="12" t="str">
        <x:f>IF(C16="","Sin cobertura","Cubierto")</x:f>
        <x:v>Cubierto</x:v>
      </x:c>
    </x:row>
    <x:row r="17">
      <x:c r="A17" s="12" t="str">
        <x:v>RF-13</x:v>
      </x:c>
      <x:c r="B17" s="12" t="str">
        <x:v>Promociones</x:v>
      </x:c>
      <x:c r="C17" s="12" t="str">
        <x:v>CP-27, CP-28</x:v>
      </x:c>
      <x:c r="D17" s="12" t="str">
        <x:f>IF(COUNTIF('Casos de prueba'!$C$5:$C$44,A17)=0,"Sin casos",IF(COUNTIFS('Casos de prueba'!$C$5:$C$44,A17,'Casos de prueba'!$K$5:$K$44,"Fallido")&gt;0,"Fallido",IF(COUNTIFS('Casos de prueba'!$C$5:$C$44,A17,'Casos de prueba'!$K$5:$K$44,"Aprobado")=COUNTIF('Casos de prueba'!$C$5:$C$44,A17),"Aprobado","Pendiente")))</x:f>
        <x:v>Pendiente</x:v>
      </x:c>
      <x:c r="E17" s="12" t="str"/>
      <x:c r="F17" s="12" t="str">
        <x:f>IF(C17="","Sin cobertura","Cubierto")</x:f>
        <x:v>Cubierto</x:v>
      </x:c>
    </x:row>
    <x:row r="18">
      <x:c r="A18" s="12" t="str">
        <x:v>RF-14</x:v>
      </x:c>
      <x:c r="B18" s="12" t="str">
        <x:v>Venta</x:v>
      </x:c>
      <x:c r="C18" s="12" t="str">
        <x:v>CP-29, CP-30, CP-31</x:v>
      </x:c>
      <x:c r="D18" s="12" t="str">
        <x:f>IF(COUNTIF('Casos de prueba'!$C$5:$C$44,A18)=0,"Sin casos",IF(COUNTIFS('Casos de prueba'!$C$5:$C$44,A18,'Casos de prueba'!$K$5:$K$44,"Fallido")&gt;0,"Fallido",IF(COUNTIFS('Casos de prueba'!$C$5:$C$44,A18,'Casos de prueba'!$K$5:$K$44,"Aprobado")=COUNTIF('Casos de prueba'!$C$5:$C$44,A18),"Aprobado","Pendiente")))</x:f>
        <x:v>Pendiente</x:v>
      </x:c>
      <x:c r="E18" s="12" t="str">
        <x:v>DEF-04, DEF-05</x:v>
      </x:c>
      <x:c r="F18" s="12" t="str">
        <x:f>IF(C18="","Sin cobertura","Cubierto")</x:f>
        <x:v>Cubierto</x:v>
      </x:c>
    </x:row>
    <x:row r="19">
      <x:c r="A19" s="12" t="str">
        <x:v>RF-15</x:v>
      </x:c>
      <x:c r="B19" s="12" t="str">
        <x:v>Salida de stock</x:v>
      </x:c>
      <x:c r="C19" s="12" t="str">
        <x:v>CP-32</x:v>
      </x:c>
      <x:c r="D19" s="12" t="str">
        <x:f>IF(COUNTIF('Casos de prueba'!$C$5:$C$44,A19)=0,"Sin casos",IF(COUNTIFS('Casos de prueba'!$C$5:$C$44,A19,'Casos de prueba'!$K$5:$K$44,"Fallido")&gt;0,"Fallido",IF(COUNTIFS('Casos de prueba'!$C$5:$C$44,A19,'Casos de prueba'!$K$5:$K$44,"Aprobado")=COUNTIF('Casos de prueba'!$C$5:$C$44,A19),"Aprobado","Pendiente")))</x:f>
        <x:v>Pendiente</x:v>
      </x:c>
      <x:c r="E19" s="12" t="str">
        <x:v>DEF-04</x:v>
      </x:c>
      <x:c r="F19" s="12" t="str">
        <x:f>IF(C19="","Sin cobertura","Cubierto")</x:f>
        <x:v>Cubierto</x:v>
      </x:c>
    </x:row>
    <x:row r="20">
      <x:c r="A20" s="12" t="str">
        <x:v>RF-16</x:v>
      </x:c>
      <x:c r="B20" s="12" t="str">
        <x:v>Anulación</x:v>
      </x:c>
      <x:c r="C20" s="12" t="str">
        <x:v>CP-33</x:v>
      </x:c>
      <x:c r="D20" s="12" t="str">
        <x:f>IF(COUNTIF('Casos de prueba'!$C$5:$C$44,A20)=0,"Sin casos",IF(COUNTIFS('Casos de prueba'!$C$5:$C$44,A20,'Casos de prueba'!$K$5:$K$44,"Fallido")&gt;0,"Fallido",IF(COUNTIFS('Casos de prueba'!$C$5:$C$44,A20,'Casos de prueba'!$K$5:$K$44,"Aprobado")=COUNTIF('Casos de prueba'!$C$5:$C$44,A20),"Aprobado","Pendiente")))</x:f>
        <x:v>Pendiente</x:v>
      </x:c>
      <x:c r="E20" s="12" t="str"/>
      <x:c r="F20" s="12" t="str">
        <x:f>IF(C20="","Sin cobertura","Cubierto")</x:f>
        <x:v>Cubierto</x:v>
      </x:c>
    </x:row>
    <x:row r="21">
      <x:c r="A21" s="12" t="str">
        <x:v>RF-17</x:v>
      </x:c>
      <x:c r="B21" s="12" t="str">
        <x:v>Catálogo público</x:v>
      </x:c>
      <x:c r="C21" s="12" t="str">
        <x:v>CP-34</x:v>
      </x:c>
      <x:c r="D21" s="12" t="str">
        <x:f>IF(COUNTIF('Casos de prueba'!$C$5:$C$44,A21)=0,"Sin casos",IF(COUNTIFS('Casos de prueba'!$C$5:$C$44,A21,'Casos de prueba'!$K$5:$K$44,"Fallido")&gt;0,"Fallido",IF(COUNTIFS('Casos de prueba'!$C$5:$C$44,A21,'Casos de prueba'!$K$5:$K$44,"Aprobado")=COUNTIF('Casos de prueba'!$C$5:$C$44,A21),"Aprobado","Pendiente")))</x:f>
        <x:v>Pendiente</x:v>
      </x:c>
      <x:c r="E21" s="12" t="str"/>
      <x:c r="F21" s="12" t="str">
        <x:f>IF(C21="","Sin cobertura","Cubierto")</x:f>
        <x:v>Cubierto</x:v>
      </x:c>
    </x:row>
    <x:row r="22">
      <x:c r="A22" s="12" t="str">
        <x:v>RF-18</x:v>
      </x:c>
      <x:c r="B22" s="12" t="str">
        <x:v>Pedido público</x:v>
      </x:c>
      <x:c r="C22" s="12" t="str">
        <x:v>CP-35, CP-36</x:v>
      </x:c>
      <x:c r="D22" s="12" t="str">
        <x:f>IF(COUNTIF('Casos de prueba'!$C$5:$C$44,A22)=0,"Sin casos",IF(COUNTIFS('Casos de prueba'!$C$5:$C$44,A22,'Casos de prueba'!$K$5:$K$44,"Fallido")&gt;0,"Fallido",IF(COUNTIFS('Casos de prueba'!$C$5:$C$44,A22,'Casos de prueba'!$K$5:$K$44,"Aprobado")=COUNTIF('Casos de prueba'!$C$5:$C$44,A22),"Aprobado","Pendiente")))</x:f>
        <x:v>Pendiente</x:v>
      </x:c>
      <x:c r="E22" s="12" t="str"/>
      <x:c r="F22" s="12" t="str">
        <x:f>IF(C22="","Sin cobertura","Cubierto")</x:f>
        <x:v>Cubierto</x:v>
      </x:c>
    </x:row>
    <x:row r="23">
      <x:c r="A23" s="12" t="str">
        <x:v>RF-19</x:v>
      </x:c>
      <x:c r="B23" s="12" t="str">
        <x:v>Estado de pedido</x:v>
      </x:c>
      <x:c r="C23" s="12" t="str">
        <x:v>CP-37, CP-38</x:v>
      </x:c>
      <x:c r="D23" s="12" t="str">
        <x:f>IF(COUNTIF('Casos de prueba'!$C$5:$C$44,A23)=0,"Sin casos",IF(COUNTIFS('Casos de prueba'!$C$5:$C$44,A23,'Casos de prueba'!$K$5:$K$44,"Fallido")&gt;0,"Fallido",IF(COUNTIFS('Casos de prueba'!$C$5:$C$44,A23,'Casos de prueba'!$K$5:$K$44,"Aprobado")=COUNTIF('Casos de prueba'!$C$5:$C$44,A23),"Aprobado","Pendiente")))</x:f>
        <x:v>Pendiente</x:v>
      </x:c>
      <x:c r="E23" s="12" t="str"/>
      <x:c r="F23" s="12" t="str">
        <x:f>IF(C23="","Sin cobertura","Cubierto")</x:f>
        <x:v>Cubierto</x:v>
      </x:c>
    </x:row>
    <x:row r="24">
      <x:c r="A24" s="12" t="str">
        <x:v>RF-20</x:v>
      </x:c>
      <x:c r="B24" s="12" t="str">
        <x:v>Confirmación de pago</x:v>
      </x:c>
      <x:c r="C24" s="12" t="str">
        <x:v>CP-39</x:v>
      </x:c>
      <x:c r="D24" s="12" t="str">
        <x:f>IF(COUNTIF('Casos de prueba'!$C$5:$C$44,A24)=0,"Sin casos",IF(COUNTIFS('Casos de prueba'!$C$5:$C$44,A24,'Casos de prueba'!$K$5:$K$44,"Fallido")&gt;0,"Fallido",IF(COUNTIFS('Casos de prueba'!$C$5:$C$44,A24,'Casos de prueba'!$K$5:$K$44,"Aprobado")=COUNTIF('Casos de prueba'!$C$5:$C$44,A24),"Aprobado","Pendiente")))</x:f>
        <x:v>Pendiente</x:v>
      </x:c>
      <x:c r="E24" s="12" t="str"/>
      <x:c r="F24" s="12" t="str">
        <x:f>IF(C24="","Sin cobertura","Cubierto")</x:f>
        <x:v>Cubierto</x:v>
      </x:c>
    </x:row>
    <x:row r="25">
      <x:c r="A25" s="12" t="str">
        <x:v>RF-21</x:v>
      </x:c>
      <x:c r="B25" s="12" t="str">
        <x:v>Indicadores</x:v>
      </x:c>
      <x:c r="C25" s="12" t="str">
        <x:v>CP-40</x:v>
      </x:c>
      <x:c r="D25" s="12" t="str">
        <x:f>IF(COUNTIF('Casos de prueba'!$C$5:$C$44,A25)=0,"Sin casos",IF(COUNTIFS('Casos de prueba'!$C$5:$C$44,A25,'Casos de prueba'!$K$5:$K$44,"Fallido")&gt;0,"Fallido",IF(COUNTIFS('Casos de prueba'!$C$5:$C$44,A25,'Casos de prueba'!$K$5:$K$44,"Aprobado")=COUNTIF('Casos de prueba'!$C$5:$C$44,A25),"Aprobado","Pendiente")))</x:f>
        <x:v>Pendiente</x:v>
      </x:c>
      <x:c r="E25" s="12" t="str">
        <x:v>DEF-06</x:v>
      </x:c>
      <x:c r="F25" s="12" t="str">
        <x:f>IF(C25="","Sin cobertura","Cubierto")</x:f>
        <x:v>Cubierto</x:v>
      </x:c>
    </x:row>
  </x:sheetData>
  <x:conditionalFormatting sqref="D5:D25">
    <x:cfRule type="containsText" dxfId="2" priority="1" operator="containsText" text="Fallido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C00000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" hidden="0" customWidth="1"/>
    <x:col min="2" max="2" width="36" hidden="0" customWidth="1"/>
    <x:col min="3" max="3" width="18" hidden="0" customWidth="1"/>
    <x:col min="4" max="4" width="16" hidden="0" customWidth="1"/>
    <x:col min="5" max="5" width="12" hidden="0" customWidth="1"/>
    <x:col min="6" max="6" width="12" hidden="0" customWidth="1"/>
    <x:col min="7" max="7" width="14" hidden="0" customWidth="1"/>
    <x:col min="8" max="8" width="34" hidden="0" customWidth="1"/>
    <x:col min="9" max="9" width="42" hidden="0" customWidth="1"/>
    <x:col min="10" max="10" width="42" hidden="0" customWidth="1"/>
    <x:col min="11" max="11" width="48" hidden="0" customWidth="1"/>
    <x:col min="12" max="12" width="38" hidden="0" customWidth="1"/>
  </x:cols>
  <x:sheetData>
    <x:row r="2">
      <x:c r="A2" s="1" t="str">
        <x:v>Registro de defectos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</x:row>
    <x:row r="3">
      <x:c r="A3" s="2" t="str">
        <x:v>Hallazgos de la línea base de KMISS</x:v>
      </x:c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</x:row>
    <x:row r="4">
      <x:c r="A4" s="8" t="str">
        <x:v>ID</x:v>
      </x:c>
      <x:c r="B4" s="8" t="str">
        <x:v>Título</x:v>
      </x:c>
      <x:c r="C4" s="8" t="str">
        <x:v>Requerimientos</x:v>
      </x:c>
      <x:c r="D4" s="8" t="str">
        <x:v>Módulo</x:v>
      </x:c>
      <x:c r="E4" s="8" t="str">
        <x:v>Severidad</x:v>
      </x:c>
      <x:c r="F4" s="8" t="str">
        <x:v>Prioridad</x:v>
      </x:c>
      <x:c r="G4" s="8" t="str">
        <x:v>Estado</x:v>
      </x:c>
      <x:c r="H4" s="8" t="str">
        <x:v>Precondiciones</x:v>
      </x:c>
      <x:c r="I4" s="8" t="str">
        <x:v>Pasos de reproducción</x:v>
      </x:c>
      <x:c r="J4" s="8" t="str">
        <x:v>Resultado esperado</x:v>
      </x:c>
      <x:c r="K4" s="8" t="str">
        <x:v>Resultado obtenido</x:v>
      </x:c>
      <x:c r="L4" s="8" t="str">
        <x:v>Evidencia</x:v>
      </x:c>
    </x:row>
    <x:row r="5">
      <x:c r="A5" s="12" t="str">
        <x:v>DEF-01</x:v>
      </x:c>
      <x:c r="B5" s="12" t="str">
        <x:v>La API acepta transiciones inválidas de citas</x:v>
      </x:c>
      <x:c r="C5" s="12" t="str">
        <x:v>RF-11</x:v>
      </x:c>
      <x:c r="D5" s="12" t="str">
        <x:v>Citas</x:v>
      </x:c>
      <x:c r="E5" s="12" t="str">
        <x:v>Alta</x:v>
      </x:c>
      <x:c r="F5" s="12" t="str">
        <x:v>Alta</x:v>
      </x:c>
      <x:c r="G5" s="12" t="str">
        <x:v>Abierto</x:v>
      </x:c>
      <x:c r="H5" s="12" t="str">
        <x:v>Usuario autenticado y cita en estado atendida o cancelada.</x:v>
      </x:c>
      <x:c r="I5" s="12" t="str">
        <x:v>1. Enviar PUT /api/citas/{id}/estado con estado programada o confirmada. 2. Consultar la cita.</x:v>
      </x:c>
      <x:c r="J5" s="12" t="str">
        <x:v>Rechazar la transición desde un estado terminal y conservar el estado.</x:v>
      </x:c>
      <x:c r="K5" s="12" t="str">
        <x:v>La ruta solo valida que el nombre del estado exista y ejecuta UPDATE sin comprobar el estado anterior.</x:v>
      </x:c>
      <x:c r="L5" s="12" t="str">
        <x:v>backend/src/routes/citas.js, ruta PUT /:id/estado.</x:v>
      </x:c>
    </x:row>
    <x:row r="6">
      <x:c r="A6" s="12" t="str">
        <x:v>DEF-02</x:v>
      </x:c>
      <x:c r="B6" s="12" t="str">
        <x:v>Un médico puede editar una cita asignada a otro médico</x:v>
      </x:c>
      <x:c r="C6" s="12" t="str">
        <x:v>RF-02, RF-09</x:v>
      </x:c>
      <x:c r="D6" s="12" t="str">
        <x:v>Citas</x:v>
      </x:c>
      <x:c r="E6" s="12" t="str">
        <x:v>Crítica</x:v>
      </x:c>
      <x:c r="F6" s="12" t="str">
        <x:v>Alta</x:v>
      </x:c>
      <x:c r="G6" s="12" t="str">
        <x:v>Abierto</x:v>
      </x:c>
      <x:c r="H6" s="12" t="str">
        <x:v>Médicos A y B autenticables; cita asignada a B.</x:v>
      </x:c>
      <x:c r="I6" s="12" t="str">
        <x:v>1. Autenticarse como A. 2. Enviar PUT /api/citas/{id-de-B} con datos válidos.</x:v>
      </x:c>
      <x:c r="J6" s="12" t="str">
        <x:v>Responder 403 y no modificar la cita ajena.</x:v>
      </x:c>
      <x:c r="K6" s="12" t="str">
        <x:v>El UPDATE filtra únicamente por id y reasigna medico_id al médico autenticado.</x:v>
      </x:c>
      <x:c r="L6" s="12" t="str">
        <x:v>backend/src/routes/citas.js, ruta PUT /:id.</x:v>
      </x:c>
    </x:row>
    <x:row r="7">
      <x:c r="A7" s="12" t="str">
        <x:v>DEF-03</x:v>
      </x:c>
      <x:c r="B7" s="12" t="str">
        <x:v>La importación de citas omite las reglas de disponibilidad</x:v>
      </x:c>
      <x:c r="C7" s="12" t="str">
        <x:v>RF-08, RF-09</x:v>
      </x:c>
      <x:c r="D7" s="12" t="str">
        <x:v>Citas</x:v>
      </x:c>
      <x:c r="E7" s="12" t="str">
        <x:v>Crítica</x:v>
      </x:c>
      <x:c r="F7" s="12" t="str">
        <x:v>Alta</x:v>
      </x:c>
      <x:c r="G7" s="12" t="str">
        <x:v>Abierto</x:v>
      </x:c>
      <x:c r="H7" s="12" t="str">
        <x:v>Administrador autenticado; archivo Excel con dos citas traslapadas.</x:v>
      </x:c>
      <x:c r="I7" s="12" t="str">
        <x:v>1. Importar el archivo. 2. Consultar las citas creadas.</x:v>
      </x:c>
      <x:c r="J7" s="12" t="str">
        <x:v>Rechazar la fila que queda fuera de horario, bloqueada o traslapada.</x:v>
      </x:c>
      <x:c r="K7" s="12" t="str">
        <x:v>La importación inserta cada fila directamente y no llama validarDisponibilidad.</x:v>
      </x:c>
      <x:c r="L7" s="12" t="str">
        <x:v>backend/src/routes/citas.js, ruta POST /importar.</x:v>
      </x:c>
    </x:row>
    <x:row r="8">
      <x:c r="A8" s="12" t="str">
        <x:v>DEF-04</x:v>
      </x:c>
      <x:c r="B8" s="12" t="str">
        <x:v>Una cantidad negativa en venta incrementa el inventario</x:v>
      </x:c>
      <x:c r="C8" s="12" t="str">
        <x:v>RF-14, RF-15</x:v>
      </x:c>
      <x:c r="D8" s="12" t="str">
        <x:v>Ventas</x:v>
      </x:c>
      <x:c r="E8" s="12" t="str">
        <x:v>Crítica</x:v>
      </x:c>
      <x:c r="F8" s="12" t="str">
        <x:v>Alta</x:v>
      </x:c>
      <x:c r="G8" s="12" t="str">
        <x:v>Abierto</x:v>
      </x:c>
      <x:c r="H8" s="12" t="str">
        <x:v>Recepción autenticada; producto con stock 10.</x:v>
      </x:c>
      <x:c r="I8" s="12" t="str">
        <x:v>1. Enviar una venta con cantidad -1. 2. Consultar producto y venta.</x:v>
      </x:c>
      <x:c r="J8" s="12" t="str">
        <x:v>Responder 400 y conservar stock 10.</x:v>
      </x:c>
      <x:c r="K8" s="12" t="str">
        <x:v>La validación no rechaza negativos; stock_actual - (-1) incrementa el stock.</x:v>
      </x:c>
      <x:c r="L8" s="12" t="str">
        <x:v>backend/src/routes/ventas.js, ruta POST /.</x:v>
      </x:c>
    </x:row>
    <x:row r="9">
      <x:c r="A9" s="12" t="str">
        <x:v>DEF-05</x:v>
      </x:c>
      <x:c r="B9" s="12" t="str">
        <x:v>El cliente controla el precio unitario de la venta</x:v>
      </x:c>
      <x:c r="C9" s="12" t="str">
        <x:v>RF-14</x:v>
      </x:c>
      <x:c r="D9" s="12" t="str">
        <x:v>Ventas</x:v>
      </x:c>
      <x:c r="E9" s="12" t="str">
        <x:v>Crítica</x:v>
      </x:c>
      <x:c r="F9" s="12" t="str">
        <x:v>Alta</x:v>
      </x:c>
      <x:c r="G9" s="12" t="str">
        <x:v>Abierto</x:v>
      </x:c>
      <x:c r="H9" s="12" t="str">
        <x:v>Recepción autenticada; producto con precio Q100.</x:v>
      </x:c>
      <x:c r="I9" s="12" t="str">
        <x:v>1. Enviar precio_unitario Q1. 2. Consultar la venta.</x:v>
      </x:c>
      <x:c r="J9" s="12" t="str">
        <x:v>El servidor debe obtener Q100 desde productos.</x:v>
      </x:c>
      <x:c r="K9" s="12" t="str">
        <x:v>Subtotal, total y detalle se calculan con precio_unitario enviado por el cliente.</x:v>
      </x:c>
      <x:c r="L9" s="12" t="str">
        <x:v>backend/src/routes/ventas.js, ruta POST /.</x:v>
      </x:c>
    </x:row>
    <x:row r="10">
      <x:c r="A10" s="12" t="str">
        <x:v>DEF-06</x:v>
      </x:c>
      <x:c r="B10" s="12" t="str">
        <x:v>El rol médico puede consultar ventas e indicadores</x:v>
      </x:c>
      <x:c r="C10" s="12" t="str">
        <x:v>RF-02, RF-21</x:v>
      </x:c>
      <x:c r="D10" s="12" t="str">
        <x:v>Ventas</x:v>
      </x:c>
      <x:c r="E10" s="12" t="str">
        <x:v>Alta</x:v>
      </x:c>
      <x:c r="F10" s="12" t="str">
        <x:v>Alta</x:v>
      </x:c>
      <x:c r="G10" s="12" t="str">
        <x:v>Abierto</x:v>
      </x:c>
      <x:c r="H10" s="12" t="str">
        <x:v>Médico autenticado.</x:v>
      </x:c>
      <x:c r="I10" s="12" t="str">
        <x:v>1. Solicitar GET /api/ventas. 2. Solicitar GET /api/ventas/dashboard.</x:v>
      </x:c>
      <x:c r="J10" s="12" t="str">
        <x:v>Responder 403 porque el rol médico no participa en procesos comerciales.</x:v>
      </x:c>
      <x:c r="K10" s="12" t="str">
        <x:v>Las rutas GET solo requieren autenticación y devuelven información comercial.</x:v>
      </x:c>
      <x:c r="L10" s="12" t="str">
        <x:v>backend/src/routes/ventas.js, router.use(autenticar) sin permitirRoles en GET.</x:v>
      </x:c>
    </x:row>
    <x:row r="11">
      <x:c r="A11" s="12" t="str">
        <x:v>DEF-07</x:v>
      </x:c>
      <x:c r="B11" s="12" t="str">
        <x:v>El historial de un paciente inexistente responde como válido</x:v>
      </x:c>
      <x:c r="C11" s="12" t="str">
        <x:v>RF-05</x:v>
      </x:c>
      <x:c r="D11" s="12" t="str">
        <x:v>Pacientes</x:v>
      </x:c>
      <x:c r="E11" s="12" t="str">
        <x:v>Media</x:v>
      </x:c>
      <x:c r="F11" s="12" t="str">
        <x:v>Media</x:v>
      </x:c>
      <x:c r="G11" s="12" t="str">
        <x:v>Abierto</x:v>
      </x:c>
      <x:c r="H11" s="12" t="str">
        <x:v>Usuario autenticado; id inexistente.</x:v>
      </x:c>
      <x:c r="I11" s="12" t="str">
        <x:v>1. Solicitar GET /api/pacientes/2147483647/historial.</x:v>
      </x:c>
      <x:c r="J11" s="12" t="str">
        <x:v>Responder 404 Paciente no encontrado.</x:v>
      </x:c>
      <x:c r="K11" s="12" t="str">
        <x:v>La ruta consulta movimientos y devuelve 200 con tres arreglos vacíos.</x:v>
      </x:c>
      <x:c r="L11" s="12" t="str">
        <x:v>backend/src/routes/pacientes.js, ruta GET /:id/historial.</x:v>
      </x:c>
    </x:row>
    <x:row r="12">
      <x:c r="A12" s="12" t="str">
        <x:v>DEF-08</x:v>
      </x:c>
      <x:c r="B12" s="12" t="str">
        <x:v>Se pueden registrar servicios con duración o precio negativos</x:v>
      </x:c>
      <x:c r="C12" s="12" t="str">
        <x:v>RF-06</x:v>
      </x:c>
      <x:c r="D12" s="12" t="str">
        <x:v>Servicios</x:v>
      </x:c>
      <x:c r="E12" s="12" t="str">
        <x:v>Alta</x:v>
      </x:c>
      <x:c r="F12" s="12" t="str">
        <x:v>Media</x:v>
      </x:c>
      <x:c r="G12" s="12" t="str">
        <x:v>Abierto</x:v>
      </x:c>
      <x:c r="H12" s="12" t="str">
        <x:v>Administrador autenticado.</x:v>
      </x:c>
      <x:c r="I12" s="12" t="str">
        <x:v>1. Crear servicio con duración -30 y precio -100. 2. Consultarlo.</x:v>
      </x:c>
      <x:c r="J12" s="12" t="str">
        <x:v>Responder 400 y no crear el servicio.</x:v>
      </x:c>
      <x:c r="K12" s="12" t="str">
        <x:v>La API no valida rangos y la tabla no define restricciones CHECK para estos campos.</x:v>
      </x:c>
      <x:c r="L12" s="12" t="str">
        <x:v>backend/src/routes/servicios.js y db/init.sql.</x:v>
      </x:c>
    </x:row>
    <x:row r="13">
      <x:c r="A13" s="12" t="str">
        <x:v>DEF-09</x:v>
      </x:c>
      <x:c r="B13" s="12" t="str">
        <x:v>Se pueden registrar productos con precio o costo negativos</x:v>
      </x:c>
      <x:c r="C13" s="12" t="str">
        <x:v>RF-12</x:v>
      </x:c>
      <x:c r="D13" s="12" t="str">
        <x:v>Inventario</x:v>
      </x:c>
      <x:c r="E13" s="12" t="str">
        <x:v>Alta</x:v>
      </x:c>
      <x:c r="F13" s="12" t="str">
        <x:v>Media</x:v>
      </x:c>
      <x:c r="G13" s="12" t="str">
        <x:v>Abierto</x:v>
      </x:c>
      <x:c r="H13" s="12" t="str">
        <x:v>Administrador autenticado.</x:v>
      </x:c>
      <x:c r="I13" s="12" t="str">
        <x:v>1. Crear producto con precio -1 y costo -2. 2. Consultarlo.</x:v>
      </x:c>
      <x:c r="J13" s="12" t="str">
        <x:v>Responder 400 y no crear el producto.</x:v>
      </x:c>
      <x:c r="K13" s="12" t="str">
        <x:v>La API acepta los valores y la base no tiene CHECK para precio y costo.</x:v>
      </x:c>
      <x:c r="L13" s="12" t="str">
        <x:v>backend/src/routes/productos.js y db/init.sql.</x:v>
      </x:c>
    </x:row>
    <x:row r="14">
      <x:c r="A14" s="12" t="str">
        <x:v>DEF-10</x:v>
      </x:c>
      <x:c r="B14" s="12" t="str">
        <x:v>El inicio de sesión no limita intentos repetidos</x:v>
      </x:c>
      <x:c r="C14" s="12" t="str">
        <x:v>RF-01, RNF-04</x:v>
      </x:c>
      <x:c r="D14" s="12" t="str">
        <x:v>Autenticación</x:v>
      </x:c>
      <x:c r="E14" s="12" t="str">
        <x:v>Alta</x:v>
      </x:c>
      <x:c r="F14" s="12" t="str">
        <x:v>Media</x:v>
      </x:c>
      <x:c r="G14" s="12" t="str">
        <x:v>Abierto</x:v>
      </x:c>
      <x:c r="H14" s="12" t="str">
        <x:v>API disponible.</x:v>
      </x:c>
      <x:c r="I14" s="12" t="str">
        <x:v>1. Enviar 30 intentos incorrectos seguidos desde la misma dirección. 2. Registrar respuestas.</x:v>
      </x:c>
      <x:c r="J14" s="12" t="str">
        <x:v>Aplicar limitación temporal y responder 429 al superar el umbral.</x:v>
      </x:c>
      <x:c r="K14" s="12" t="str">
        <x:v>Todos los intentos llegan a bcrypt y responden 401; no existe middleware de rate limiting.</x:v>
      </x:c>
      <x:c r="L14" s="12" t="str">
        <x:v>backend/src/routes/auth.js y backend/src/server.js.</x:v>
      </x:c>
    </x:row>
  </x:sheetData>
  <x:conditionalFormatting sqref="E5:E14">
    <x:cfRule type="containsText" dxfId="3" priority="1" operator="containsText" text="Crítica"/>
  </x:conditionalFormatting>
  <x:dataValidations count="3">
    <x:dataValidation type="list" sqref="E5:E14">
      <x:formula1>"Crítica,Alta,Media,Baja"</x:formula1>
    </x:dataValidation>
    <x:dataValidation type="list" sqref="F5:F14">
      <x:formula1>"Alta,Media,Baja"</x:formula1>
    </x:dataValidation>
    <x:dataValidation type="list" sqref="G5:G14">
      <x:formula1>"Abierto,En progreso,Resuelto,Cerrado"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78" hidden="0" customWidth="1"/>
    <x:col min="4" max="4" width="18" hidden="0" customWidth="1"/>
  </x:cols>
  <x:sheetData>
    <x:row r="2">
      <x:c r="A2" s="1" t="str">
        <x:v>Verificación de requerimientos no funcionales</x:v>
      </x:c>
      <x:c r="B2" s="16"/>
      <x:c r="C2" s="16"/>
      <x:c r="D2" s="16"/>
    </x:row>
    <x:row r="3">
      <x:c r="A3" s="2" t="str">
        <x:v>Criterios medibles y estado de evidencia</x:v>
      </x:c>
      <x:c r="B3" s="16"/>
      <x:c r="C3" s="16"/>
      <x:c r="D3" s="16"/>
    </x:row>
    <x:row r="4">
      <x:c r="A4" s="8" t="str">
        <x:v>Código</x:v>
      </x:c>
      <x:c r="B4" s="8" t="str">
        <x:v>Categoría</x:v>
      </x:c>
      <x:c r="C4" s="8" t="str">
        <x:v>Criterio verificable</x:v>
      </x:c>
      <x:c r="D4" s="8" t="str">
        <x:v>Estado</x:v>
      </x:c>
    </x:row>
    <x:row r="5">
      <x:c r="A5" s="12" t="str">
        <x:v>RNF-01</x:v>
      </x:c>
      <x:c r="B5" s="12" t="str">
        <x:v>Rendimiento</x:v>
      </x:c>
      <x:c r="C5" s="12" t="str">
        <x:v>p95 &lt;= 2.5 s a 50 VU por 5 min; error &lt; 1 %</x:v>
      </x:c>
      <x:c r="D5" s="12" t="str">
        <x:v>Pendiente</x:v>
      </x:c>
    </x:row>
    <x:row r="6">
      <x:c r="A6" s="12" t="str">
        <x:v>RNF-02</x:v>
      </x:c>
      <x:c r="B6" s="12" t="str">
        <x:v>Disponibilidad</x:v>
      </x:c>
      <x:c r="C6" s="12" t="str">
        <x:v>Disponibilidad mensual &gt;= 98 %</x:v>
      </x:c>
      <x:c r="D6" s="12" t="str">
        <x:v>Pendiente</x:v>
      </x:c>
    </x:row>
    <x:row r="7">
      <x:c r="A7" s="12" t="str">
        <x:v>RNF-03</x:v>
      </x:c>
      <x:c r="B7" s="12" t="str">
        <x:v>Control de acceso</x:v>
      </x:c>
      <x:c r="C7" s="12" t="str">
        <x:v>100 % de rutas protegidas: 401 sin token y 403 sin rol</x:v>
      </x:c>
      <x:c r="D7" s="12" t="str">
        <x:v>Pendiente</x:v>
      </x:c>
    </x:row>
    <x:row r="8">
      <x:c r="A8" s="12" t="str">
        <x:v>RNF-04</x:v>
      </x:c>
      <x:c r="B8" s="12" t="str">
        <x:v>Protección de credenciales</x:v>
      </x:c>
      <x:c r="C8" s="12" t="str">
        <x:v>bcrypt costo &gt;= 10 y secreto JWT &gt;= 32 caracteres desde entorno</x:v>
      </x:c>
      <x:c r="D8" s="12" t="str">
        <x:v>Pendiente</x:v>
      </x:c>
    </x:row>
    <x:row r="9">
      <x:c r="A9" s="12" t="str">
        <x:v>RNF-05</x:v>
      </x:c>
      <x:c r="B9" s="12" t="str">
        <x:v>Concurrencia de agenda</x:v>
      </x:c>
      <x:c r="C9" s="12" t="str">
        <x:v>Máximo una cita en 20 solicitudes simultáneas al mismo horario</x:v>
      </x:c>
      <x:c r="D9" s="12" t="str">
        <x:v>Pendiente</x:v>
      </x:c>
    </x:row>
    <x:row r="10">
      <x:c r="A10" s="12" t="str">
        <x:v>RNF-06</x:v>
      </x:c>
      <x:c r="B10" s="12" t="str">
        <x:v>Integridad transaccional</x:v>
      </x:c>
      <x:c r="C10" s="12" t="str">
        <x:v>100 % de 20 fallos inducidos conserva consistencia</x:v>
      </x:c>
      <x:c r="D10" s="12" t="str">
        <x:v>Pendiente</x:v>
      </x:c>
    </x:row>
    <x:row r="11">
      <x:c r="A11" s="12" t="str">
        <x:v>RNF-07</x:v>
      </x:c>
      <x:c r="B11" s="12" t="str">
        <x:v>Compatibilidad</x:v>
      </x:c>
      <x:c r="C11" s="12" t="str">
        <x:v>Suite crítica en 2 versiones recientes de Chrome, Edge y Firefox; escritorio y móvil</x:v>
      </x:c>
      <x:c r="D11" s="12" t="str">
        <x:v>Pendiente</x:v>
      </x:c>
    </x:row>
    <x:row r="12">
      <x:c r="A12" s="12" t="str">
        <x:v>RNF-08</x:v>
      </x:c>
      <x:c r="B12" s="12" t="str">
        <x:v>Usabilidad</x:v>
      </x:c>
      <x:c r="C12" s="12" t="str">
        <x:v>4 de 5 usuarios completan cita y pedido en &lt; 5 min por tarea</x:v>
      </x:c>
      <x:c r="D12" s="12" t="str">
        <x:v>Pendiente</x:v>
      </x:c>
    </x:row>
  </x:sheetData>
  <x:dataValidations count="1">
    <x:dataValidation type="list" sqref="D5:D12">
      <x:formula1>"Pendiente,Cumple,No cumple,Bloqueado"</x:formula1>
    </x:dataValidation>
  </x:dataValidations>
  <x:pageMargins left="0.7" right="0.7" top="0.75" bottom="0.75" header="0.3" footer="0.3"/>
</x:worksheet>
</file>